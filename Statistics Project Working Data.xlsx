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c26f2bc972f1be/Desktop/"/>
    </mc:Choice>
  </mc:AlternateContent>
  <xr:revisionPtr revIDLastSave="149" documentId="8_{8A5A3C08-AB34-478A-A6D9-C594EE2A7332}" xr6:coauthVersionLast="47" xr6:coauthVersionMax="47" xr10:uidLastSave="{6FFB03D3-A5B6-4F12-BCE8-B0CD40BA9257}"/>
  <bookViews>
    <workbookView xWindow="-108" yWindow="-108" windowWidth="23256" windowHeight="12456" xr2:uid="{62BA5B7C-7297-4939-9F6F-BA3916C82F65}"/>
  </bookViews>
  <sheets>
    <sheet name="Sheet1" sheetId="1" r:id="rId1"/>
    <sheet name="Cleaned Data" sheetId="2" r:id="rId2"/>
    <sheet name="Analysis Data" sheetId="3" r:id="rId3"/>
    <sheet name="Sheet3" sheetId="4" r:id="rId4"/>
  </sheets>
  <definedNames>
    <definedName name="_xlnm._FilterDatabase" localSheetId="1" hidden="1">'Cleaned Data'!$A$1:$F$206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G5" i="1"/>
  <c r="J5" i="1"/>
  <c r="M5" i="1"/>
  <c r="G29" i="1"/>
  <c r="J29" i="1"/>
  <c r="M29" i="1"/>
  <c r="M4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3" i="1"/>
  <c r="M2" i="1"/>
  <c r="J3" i="1"/>
  <c r="J4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" i="1"/>
  <c r="G3" i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" i="1"/>
</calcChain>
</file>

<file path=xl/sharedStrings.xml><?xml version="1.0" encoding="utf-8"?>
<sst xmlns="http://schemas.openxmlformats.org/spreadsheetml/2006/main" count="1652" uniqueCount="273">
  <si>
    <t xml:space="preserve">Country </t>
  </si>
  <si>
    <t>LPI Overall Score</t>
  </si>
  <si>
    <t>Exports(%GDP)</t>
  </si>
  <si>
    <t>Trade(%GDP)</t>
  </si>
  <si>
    <t>GDP per Capita</t>
  </si>
  <si>
    <t>FDI(%GDP)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</si>
  <si>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</si>
  <si>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</si>
  <si>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</si>
  <si>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</si>
  <si>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</si>
  <si>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</si>
  <si>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</si>
  <si>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</si>
  <si>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</si>
  <si>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</si>
  <si>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</si>
  <si>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</si>
  <si>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</si>
  <si>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</si>
  <si>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</si>
  <si>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</si>
  <si>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</si>
  <si>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</si>
  <si>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</si>
  <si>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</si>
  <si>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</si>
  <si>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</si>
  <si>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</si>
  <si>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</si>
  <si>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</si>
  <si>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</si>
  <si>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</si>
  <si>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</si>
  <si>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</si>
  <si>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</si>
  <si>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</si>
  <si>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</si>
  <si>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</si>
  <si>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</si>
  <si>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</si>
  <si>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</si>
  <si>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</si>
  <si>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</si>
  <si>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</si>
  <si>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</si>
  <si>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</si>
  <si>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Czechia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</si>
  <si>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</si>
  <si>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</si>
  <si>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</si>
  <si>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</si>
  <si>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</si>
  <si>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</si>
  <si>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</si>
  <si>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</si>
  <si>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</si>
  <si>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</si>
  <si>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</si>
  <si>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</si>
  <si>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</si>
  <si>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</si>
  <si>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</si>
  <si>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</si>
  <si>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</si>
  <si>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</si>
  <si>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</si>
  <si>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</si>
  <si>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</si>
  <si>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</si>
  <si>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</si>
  <si>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</si>
  <si>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</si>
  <si>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</si>
  <si>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</si>
  <si>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</si>
  <si>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</si>
  <si>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</si>
  <si>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</si>
  <si>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</si>
  <si>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</si>
  <si>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</si>
  <si>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</si>
  <si>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</si>
  <si>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</si>
  <si>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</si>
  <si>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</si>
  <si>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</si>
  <si>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</si>
  <si>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</si>
  <si>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</si>
  <si>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</si>
  <si>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</si>
  <si>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</si>
  <si>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</si>
  <si>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</si>
  <si>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</si>
  <si>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</si>
  <si>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</si>
  <si>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</si>
  <si>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</si>
  <si>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</si>
  <si>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</si>
  <si>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</si>
  <si>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</si>
  <si>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</si>
  <si>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</si>
  <si>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</si>
  <si>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</si>
  <si>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</si>
  <si>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</si>
  <si>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</si>
  <si>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</si>
  <si>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</si>
  <si>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</si>
  <si>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</si>
  <si>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</si>
  <si>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</si>
  <si>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</si>
  <si>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</si>
  <si>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</si>
  <si>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</si>
  <si>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</si>
  <si>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</si>
  <si>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</si>
  <si>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</si>
  <si>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</si>
  <si>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</si>
  <si>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</si>
  <si>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</si>
  <si>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</si>
  <si>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</si>
  <si>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</si>
  <si>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</si>
  <si>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</si>
  <si>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</si>
  <si>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</si>
  <si>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</si>
  <si>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</si>
  <si>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</si>
  <si>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</si>
  <si>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</si>
  <si>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</si>
  <si>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</si>
  <si>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</si>
  <si>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</si>
  <si>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</si>
  <si>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</si>
  <si>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</si>
  <si>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</si>
  <si>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</si>
  <si>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</si>
  <si>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</si>
  <si>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</si>
  <si>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</si>
  <si>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</si>
  <si>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</si>
  <si>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</si>
  <si>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</si>
  <si>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</si>
  <si>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Turkiye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</si>
  <si>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</si>
  <si>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</si>
  <si>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</si>
  <si>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</si>
  <si>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</si>
  <si>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</si>
  <si>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</si>
  <si>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</si>
  <si>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</si>
  <si>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 Nam</t>
  </si>
  <si>
    <t>Yemen, Rep.</t>
  </si>
  <si>
    <t>Zambia</t>
  </si>
  <si>
    <t>Zimbabwe</t>
  </si>
  <si>
    <t>Country</t>
  </si>
  <si>
    <t>Aruba</t>
  </si>
  <si>
    <t>Africa Eastern and Southern</t>
  </si>
  <si>
    <t>Africa Western and Central</t>
  </si>
  <si>
    <t>Andorra</t>
  </si>
  <si>
    <t>Arab World</t>
  </si>
  <si>
    <t>American Samoa</t>
  </si>
  <si>
    <t>Belize</t>
  </si>
  <si>
    <t>Bermuda</t>
  </si>
  <si>
    <t>Barbados</t>
  </si>
  <si>
    <t>Central Europe and the Baltics</t>
  </si>
  <si>
    <t>Channel Islands</t>
  </si>
  <si>
    <t>Cabo Verde</t>
  </si>
  <si>
    <t>Caribbean small states</t>
  </si>
  <si>
    <t>Curacao</t>
  </si>
  <si>
    <t>Cayman Islands</t>
  </si>
  <si>
    <t>Dominica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</si>
  <si>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</si>
  <si>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</si>
  <si>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</si>
  <si>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</si>
  <si>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</si>
  <si>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Euro area</t>
  </si>
  <si>
    <t>European Union</t>
  </si>
  <si>
    <t>Faroe Islands</t>
  </si>
  <si>
    <t>Micronesia, Fed. Sts.</t>
  </si>
  <si>
    <t>Gibraltar</t>
  </si>
  <si>
    <t>Greenland</t>
  </si>
  <si>
    <t>Guam</t>
  </si>
  <si>
    <t>High income</t>
  </si>
  <si>
    <t>Heavily indebted poor countries (HIPC)</t>
  </si>
  <si>
    <t>IBRD only</t>
  </si>
  <si>
    <t>IDA &amp; IBRD total</t>
  </si>
  <si>
    <t>IDA total</t>
  </si>
  <si>
    <t>IDA blend</t>
  </si>
  <si>
    <t>IDA only</t>
  </si>
  <si>
    <t>Isle of Man</t>
  </si>
  <si>
    <t>Not classified</t>
  </si>
  <si>
    <t>Kiribati</t>
  </si>
  <si>
    <t>St. Kitts and Nevis</t>
  </si>
  <si>
    <t>Latin America &amp; Caribbean (excluding high income)</t>
  </si>
  <si>
    <t>St. Lucia</t>
  </si>
  <si>
    <t>Latin America &amp; Caribbean</t>
  </si>
  <si>
    <t>Least developed countries: UN classification</t>
  </si>
  <si>
    <t>Low income</t>
  </si>
  <si>
    <t>Liechtenstein</t>
  </si>
  <si>
    <t>Lower middle income</t>
  </si>
  <si>
    <t>Low &amp; middle income</t>
  </si>
  <si>
    <t>Late-demographic dividend</t>
  </si>
  <si>
    <t>Macao SAR, China</t>
  </si>
  <si>
    <t>St. Martin (French part)</t>
  </si>
  <si>
    <t>Monaco</t>
  </si>
  <si>
    <t>Middle East, North Africa, Afghanistan &amp; Pakistan</t>
  </si>
  <si>
    <t>Marshall Islands</t>
  </si>
  <si>
    <t>Middle income</t>
  </si>
  <si>
    <t>Middle East, North Africa, Afghanistan &amp; Pakistan (excluding high income)</t>
  </si>
  <si>
    <t>Northern Mariana Islands</t>
  </si>
  <si>
    <t>North America</t>
  </si>
  <si>
    <t>New Caledonia</t>
  </si>
  <si>
    <t>Naoero</t>
  </si>
  <si>
    <t>OECD members</t>
  </si>
  <si>
    <t>Other small states</t>
  </si>
  <si>
    <t>Palau</t>
  </si>
  <si>
    <t>Pre-demographic dividend</t>
  </si>
  <si>
    <t>Puerto Rico (US)</t>
  </si>
  <si>
    <t>Korea, Dem. People's Rep.</t>
  </si>
  <si>
    <t>West Bank and Gaza</t>
  </si>
  <si>
    <t>Pacific island small states</t>
  </si>
  <si>
    <t>Post-demographic dividend</t>
  </si>
  <si>
    <t>French Polynesia</t>
  </si>
  <si>
    <t>South Asia</t>
  </si>
  <si>
    <t>San Marino</t>
  </si>
  <si>
    <t>Somalia, Fed. Rep.</t>
  </si>
  <si>
    <t>Sub-Saharan Africa (excluding high income)</t>
  </si>
  <si>
    <t>South Sudan</t>
  </si>
  <si>
    <t>Sub-Saharan Africa</t>
  </si>
  <si>
    <t>Small states</t>
  </si>
  <si>
    <t>Suriname</t>
  </si>
  <si>
    <t>Eswatini</t>
  </si>
  <si>
    <t>Sint Maarten (Dutch part)</t>
  </si>
  <si>
    <t>Seychelles</t>
  </si>
  <si>
    <t>Turks and Caicos Islands</t>
  </si>
  <si>
    <t>East Asia &amp; Pacific (IDA &amp; IBRD countries)</t>
  </si>
  <si>
    <t>Europe &amp; Central Asia (IDA &amp; IBRD countries)</t>
  </si>
  <si>
    <t>Latin America &amp; the Caribbean (IDA &amp; IBRD countries)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</si>
  <si>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</si>
  <si>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</si>
  <si>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</si>
  <si>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</si>
  <si>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Tuvalu</t>
  </si>
  <si>
    <t>Upper middle income</t>
  </si>
  <si>
    <t>St. Vincent and the Grenadines</t>
  </si>
  <si>
    <t>British Virgin Islands</t>
  </si>
  <si>
    <t>Virgin Islands (U.S.)</t>
  </si>
  <si>
    <t>Vanuatu</t>
  </si>
  <si>
    <t>World</t>
  </si>
  <si>
    <t>Samoa</t>
  </si>
  <si>
    <t>Kosovo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</si>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</sst>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FC85-2EE7-46B5-8928-867DB29FCF49}">
  <dimension ref="A1:N266"/>
  <sheetViews>
    <sheetView tabSelected="1" topLeftCell="A214" workbookViewId="0">
      <selection activeCell="P8" sqref="P8"/>
    </sheetView>
  </sheetViews>
  <sheetFormatPr defaultColWidth="20.109375" defaultRowHeight="14.4" x14ac:dyDescent="0.3"/>
  <cols>
    <col min="1" max="1" width="20.5546875" style="1" customWidth="1"/>
    <col min="2" max="2" width="23.5546875" style="1" customWidth="1"/>
    <col min="3" max="3" width="3.5546875" style="1" hidden="1" customWidth="1"/>
    <col min="4" max="4" width="20.109375" style="1" customWidth="1"/>
    <col min="5" max="5" width="0" style="1" hidden="1" customWidth="1"/>
    <col min="6" max="6" width="36" style="1" hidden="1" customWidth="1"/>
    <col min="7" max="7" width="20.109375" style="1"/>
    <col min="8" max="8" width="0" style="1" hidden="1" customWidth="1"/>
    <col min="9" max="9" width="22.109375" style="1" hidden="1" customWidth="1"/>
    <col min="10" max="10" width="20.109375" style="1"/>
    <col min="11" max="12" width="0" style="1" hidden="1" customWidth="1"/>
    <col min="13" max="13" width="20.109375" style="1"/>
    <col min="14" max="14" width="0" style="1" hidden="1" customWidth="1"/>
    <col min="15" max="16384" width="20.109375" style="1"/>
  </cols>
  <sheetData>
    <row r="1" spans="1:14" x14ac:dyDescent="0.3">
      <c r="A1" s="1" t="s">
        <v>0</v>
      </c>
      <c r="B1" s="1" t="s">
        <v>1</v>
      </c>
      <c r="C1" s="1" t="s">
        <v>174</v>
      </c>
      <c r="D1" s="1" t="s">
        <v>2</v>
      </c>
      <c r="F1" s="1" t="s">
        <v>174</v>
      </c>
      <c r="G1" s="1" t="s">
        <v>3</v>
      </c>
      <c r="I1" s="1" t="s">
        <v>174</v>
      </c>
      <c r="J1" s="1" t="s">
        <v>4</v>
      </c>
      <c r="L1" s="1" t="s">
        <v>272</v>
      </c>
      <c r="M1" s="1" t="s">
        <v>5</v>
      </c>
    </row>
    <row r="2" spans="1:14" x14ac:dyDescent="0.3">
      <c r="A2" t="s">
        <v>6</v>
      </c>
      <c r="B2">
        <v>1.9</v>
      </c>
      <c r="C2" t="s">
        <v>175</v>
      </c>
      <c r="D2">
        <f t="shared" ref="D2:D65" si="0">_xlfn.XLOOKUP(A2,C:C,E:E,"")</f>
        <v>16.235278441939137</v>
      </c>
      <c r="E2">
        <v>79.858893371661523</v>
      </c>
      <c r="F2" t="s">
        <v>175</v>
      </c>
      <c r="G2">
        <f>_xlfn.XLOOKUP(A2,F:F,H:H,"")</f>
        <v>66.999578062195113</v>
      </c>
      <c r="H2">
        <v>153.71915834395907</v>
      </c>
      <c r="I2" t="s">
        <v>175</v>
      </c>
      <c r="J2">
        <f>_xlfn.XLOOKUP(A2,I:I,K:K,"")</f>
        <v>413.75789470530316</v>
      </c>
      <c r="K2">
        <v>34897.618393200886</v>
      </c>
      <c r="L2" t="s">
        <v>175</v>
      </c>
      <c r="M2">
        <f>_xlfn.XLOOKUP(A2,L:L,N:N,"")</f>
        <v>0</v>
      </c>
      <c r="N2">
        <v>-3.6689355783496644</v>
      </c>
    </row>
    <row r="3" spans="1:14" x14ac:dyDescent="0.3">
      <c r="A3" t="s">
        <v>7</v>
      </c>
      <c r="B3">
        <v>2.5</v>
      </c>
      <c r="C3" t="s">
        <v>176</v>
      </c>
      <c r="D3">
        <f t="shared" si="0"/>
        <v>38.418821290128783</v>
      </c>
      <c r="E3">
        <v>26.160465716821157</v>
      </c>
      <c r="F3" t="s">
        <v>176</v>
      </c>
      <c r="G3">
        <f>_xlfn.XLOOKUP(A3,F:F,H:H,"")</f>
        <v>82.352493399072301</v>
      </c>
      <c r="H3">
        <v>56.283720917999752</v>
      </c>
      <c r="I3" t="s">
        <v>176</v>
      </c>
      <c r="J3">
        <f>_xlfn.XLOOKUP(A3,I:I,K:K,"")</f>
        <v>9740.7023414631003</v>
      </c>
      <c r="K3">
        <v>1571.1327040781453</v>
      </c>
      <c r="L3" t="s">
        <v>176</v>
      </c>
      <c r="M3">
        <f>_xlfn.XLOOKUP(A3,L:L,N:N,"")</f>
        <v>6.9003695094079536</v>
      </c>
      <c r="N3">
        <v>1.962268709348973</v>
      </c>
    </row>
    <row r="4" spans="1:14" x14ac:dyDescent="0.3">
      <c r="A4" t="s">
        <v>8</v>
      </c>
      <c r="B4">
        <v>2.5</v>
      </c>
      <c r="C4" t="s">
        <v>6</v>
      </c>
      <c r="D4">
        <f t="shared" si="0"/>
        <v>23.790060473816276</v>
      </c>
      <c r="E4">
        <v>16.235278441939137</v>
      </c>
      <c r="F4" t="s">
        <v>6</v>
      </c>
      <c r="G4">
        <f>_xlfn.XLOOKUP(A4,F:F,H:H,"")</f>
        <v>43.739798450700661</v>
      </c>
      <c r="H4">
        <v>66.999578062195113</v>
      </c>
      <c r="I4" t="s">
        <v>6</v>
      </c>
      <c r="J4">
        <f>_xlfn.XLOOKUP(A4,I:I,K:K,"")</f>
        <v>5370.4772350780049</v>
      </c>
      <c r="K4">
        <v>413.75789470530316</v>
      </c>
      <c r="L4" t="s">
        <v>6</v>
      </c>
      <c r="M4">
        <f>_xlfn.XLOOKUP(A4,L:L,N:N,"")</f>
        <v>0.48981914341042349</v>
      </c>
      <c r="N4"/>
    </row>
    <row r="5" spans="1:14" x14ac:dyDescent="0.3">
      <c r="A5" t="s">
        <v>180</v>
      </c>
      <c r="B5">
        <v>0</v>
      </c>
      <c r="C5" t="s">
        <v>177</v>
      </c>
      <c r="D5">
        <f t="shared" si="0"/>
        <v>0</v>
      </c>
      <c r="E5"/>
      <c r="F5" t="s">
        <v>177</v>
      </c>
      <c r="G5">
        <f t="shared" ref="G5" si="1">_xlfn.XLOOKUP(A5,F:F,H:H,"")</f>
        <v>0</v>
      </c>
      <c r="H5"/>
      <c r="I5" t="s">
        <v>177</v>
      </c>
      <c r="J5">
        <f t="shared" ref="J5" si="2">_xlfn.XLOOKUP(A5,I:I,K:K,"")</f>
        <v>0</v>
      </c>
      <c r="K5">
        <v>1846.2468106931296</v>
      </c>
      <c r="L5" t="s">
        <v>177</v>
      </c>
      <c r="M5">
        <f t="shared" ref="M5" si="3">_xlfn.XLOOKUP(A5,L:L,N:N,"")</f>
        <v>0</v>
      </c>
      <c r="N5">
        <v>2.0810989352195062</v>
      </c>
    </row>
    <row r="6" spans="1:14" x14ac:dyDescent="0.3">
      <c r="A6" t="s">
        <v>178</v>
      </c>
      <c r="B6">
        <v>0</v>
      </c>
      <c r="C6" t="s">
        <v>9</v>
      </c>
      <c r="D6">
        <f t="shared" si="0"/>
        <v>0</v>
      </c>
      <c r="E6">
        <v>32.669372372041124</v>
      </c>
      <c r="F6" t="s">
        <v>9</v>
      </c>
      <c r="G6">
        <f t="shared" ref="G6:G69" si="4">_xlfn.XLOOKUP(A6,F:F,H:H,"")</f>
        <v>0</v>
      </c>
      <c r="H6">
        <v>53.607012649868594</v>
      </c>
      <c r="I6" t="s">
        <v>9</v>
      </c>
      <c r="J6">
        <f t="shared" ref="J6:J69" si="5">_xlfn.XLOOKUP(A6,I:I,K:K,"")</f>
        <v>46812.448450114025</v>
      </c>
      <c r="K6">
        <v>2885.5134913080637</v>
      </c>
      <c r="L6" t="s">
        <v>9</v>
      </c>
      <c r="M6">
        <f t="shared" ref="M6:M69" si="6">_xlfn.XLOOKUP(A6,L:L,N:N,"")</f>
        <v>7.2859718211891726</v>
      </c>
      <c r="N6">
        <v>-1.998854414452103</v>
      </c>
    </row>
    <row r="7" spans="1:14" x14ac:dyDescent="0.3">
      <c r="A7" t="s">
        <v>9</v>
      </c>
      <c r="B7">
        <v>2.1</v>
      </c>
      <c r="C7" t="s">
        <v>7</v>
      </c>
      <c r="D7">
        <f t="shared" si="0"/>
        <v>32.669372372041124</v>
      </c>
      <c r="E7">
        <v>38.418821290128783</v>
      </c>
      <c r="F7" t="s">
        <v>7</v>
      </c>
      <c r="G7">
        <f t="shared" si="4"/>
        <v>53.607012649868594</v>
      </c>
      <c r="H7">
        <v>82.352493399072301</v>
      </c>
      <c r="I7" t="s">
        <v>7</v>
      </c>
      <c r="J7">
        <f t="shared" si="5"/>
        <v>2885.5134913080637</v>
      </c>
      <c r="K7">
        <v>9740.7023414631003</v>
      </c>
      <c r="L7" t="s">
        <v>7</v>
      </c>
      <c r="M7">
        <f t="shared" si="6"/>
        <v>-1.998854414452103</v>
      </c>
      <c r="N7">
        <v>6.9003695094079536</v>
      </c>
    </row>
    <row r="8" spans="1:14" x14ac:dyDescent="0.3">
      <c r="A8" t="s">
        <v>10</v>
      </c>
      <c r="B8">
        <v>2.9</v>
      </c>
      <c r="C8" t="s">
        <v>178</v>
      </c>
      <c r="D8">
        <f t="shared" si="0"/>
        <v>0</v>
      </c>
      <c r="E8"/>
      <c r="F8" t="s">
        <v>178</v>
      </c>
      <c r="G8">
        <f t="shared" si="4"/>
        <v>0</v>
      </c>
      <c r="H8"/>
      <c r="I8" t="s">
        <v>178</v>
      </c>
      <c r="J8">
        <f t="shared" si="5"/>
        <v>22012.262594799351</v>
      </c>
      <c r="K8">
        <v>46812.448450114025</v>
      </c>
      <c r="L8" t="s">
        <v>178</v>
      </c>
      <c r="M8">
        <f t="shared" si="6"/>
        <v>14.265690958987074</v>
      </c>
      <c r="N8">
        <v>7.2859718211891726</v>
      </c>
    </row>
    <row r="9" spans="1:14" x14ac:dyDescent="0.3">
      <c r="A9" t="s">
        <v>11</v>
      </c>
      <c r="B9">
        <v>2.8</v>
      </c>
      <c r="C9" t="s">
        <v>179</v>
      </c>
      <c r="D9">
        <f t="shared" si="0"/>
        <v>12.822312096104724</v>
      </c>
      <c r="E9">
        <v>46.826824281874146</v>
      </c>
      <c r="F9" t="s">
        <v>179</v>
      </c>
      <c r="G9">
        <f t="shared" si="4"/>
        <v>26.67695124822146</v>
      </c>
      <c r="H9">
        <v>87.039045128618596</v>
      </c>
      <c r="I9" t="s">
        <v>179</v>
      </c>
      <c r="J9">
        <f t="shared" si="5"/>
        <v>14261.846566794789</v>
      </c>
      <c r="K9">
        <v>7504.3563769562725</v>
      </c>
      <c r="L9" t="s">
        <v>179</v>
      </c>
      <c r="M9">
        <f t="shared" si="6"/>
        <v>3.8119087985695215</v>
      </c>
      <c r="N9">
        <v>2.4585872490533509</v>
      </c>
    </row>
    <row r="10" spans="1:14" x14ac:dyDescent="0.3">
      <c r="A10" t="s">
        <v>12</v>
      </c>
      <c r="B10">
        <v>2.5</v>
      </c>
      <c r="C10" t="s">
        <v>164</v>
      </c>
      <c r="D10">
        <f t="shared" si="0"/>
        <v>61.008329479156011</v>
      </c>
      <c r="E10">
        <v>106.84612339095348</v>
      </c>
      <c r="F10" t="s">
        <v>164</v>
      </c>
      <c r="G10">
        <f t="shared" si="4"/>
        <v>123.41875007762695</v>
      </c>
      <c r="H10">
        <v>199.0449501271066</v>
      </c>
      <c r="I10" t="s">
        <v>164</v>
      </c>
      <c r="J10">
        <f t="shared" si="5"/>
        <v>8159.0872096799585</v>
      </c>
      <c r="K10">
        <v>49850.694508208428</v>
      </c>
      <c r="L10" t="s">
        <v>164</v>
      </c>
      <c r="M10">
        <f t="shared" si="6"/>
        <v>2.3995927646558157</v>
      </c>
      <c r="N10">
        <v>5.8718398356489869</v>
      </c>
    </row>
    <row r="11" spans="1:14" x14ac:dyDescent="0.3">
      <c r="A11" t="s">
        <v>175</v>
      </c>
      <c r="B11">
        <v>0</v>
      </c>
      <c r="C11" t="s">
        <v>11</v>
      </c>
      <c r="D11">
        <f t="shared" si="0"/>
        <v>79.858893371661523</v>
      </c>
      <c r="E11">
        <v>12.822312096104724</v>
      </c>
      <c r="F11" t="s">
        <v>11</v>
      </c>
      <c r="G11">
        <f t="shared" si="4"/>
        <v>153.71915834395907</v>
      </c>
      <c r="H11">
        <v>26.67695124822146</v>
      </c>
      <c r="I11" t="s">
        <v>11</v>
      </c>
      <c r="J11">
        <f t="shared" si="5"/>
        <v>34897.618393200886</v>
      </c>
      <c r="K11">
        <v>14261.846566794789</v>
      </c>
      <c r="L11" t="s">
        <v>11</v>
      </c>
      <c r="M11">
        <f t="shared" si="6"/>
        <v>-3.6689355783496644</v>
      </c>
      <c r="N11">
        <v>3.8119087985695215</v>
      </c>
    </row>
    <row r="12" spans="1:14" x14ac:dyDescent="0.3">
      <c r="A12" t="s">
        <v>13</v>
      </c>
      <c r="B12">
        <v>3.7</v>
      </c>
      <c r="C12" t="s">
        <v>12</v>
      </c>
      <c r="D12">
        <f t="shared" si="0"/>
        <v>26.701068252275018</v>
      </c>
      <c r="E12">
        <v>61.008329479156011</v>
      </c>
      <c r="F12" t="s">
        <v>12</v>
      </c>
      <c r="G12">
        <f t="shared" si="4"/>
        <v>49.044339318427966</v>
      </c>
      <c r="H12">
        <v>123.41875007762695</v>
      </c>
      <c r="I12" t="s">
        <v>12</v>
      </c>
      <c r="J12">
        <f t="shared" si="5"/>
        <v>65058.37731466737</v>
      </c>
      <c r="K12">
        <v>8159.0872096799585</v>
      </c>
      <c r="L12" t="s">
        <v>12</v>
      </c>
      <c r="M12">
        <f t="shared" si="6"/>
        <v>2.0361470438956357</v>
      </c>
      <c r="N12">
        <v>2.3995927646558157</v>
      </c>
    </row>
    <row r="13" spans="1:14" x14ac:dyDescent="0.3">
      <c r="A13" t="s">
        <v>14</v>
      </c>
      <c r="B13">
        <v>4</v>
      </c>
      <c r="C13" t="s">
        <v>180</v>
      </c>
      <c r="D13">
        <f t="shared" si="0"/>
        <v>58.486759571394387</v>
      </c>
      <c r="E13"/>
      <c r="F13" t="s">
        <v>180</v>
      </c>
      <c r="G13">
        <f t="shared" si="4"/>
        <v>115.15291482273196</v>
      </c>
      <c r="H13"/>
      <c r="I13" t="s">
        <v>180</v>
      </c>
      <c r="J13">
        <f t="shared" si="5"/>
        <v>56579.504175467991</v>
      </c>
      <c r="K13"/>
      <c r="L13" t="s">
        <v>180</v>
      </c>
      <c r="M13">
        <f t="shared" si="6"/>
        <v>0.56611237032270723</v>
      </c>
      <c r="N13"/>
    </row>
    <row r="14" spans="1:14" x14ac:dyDescent="0.3">
      <c r="A14" t="s">
        <v>15</v>
      </c>
      <c r="B14">
        <v>0</v>
      </c>
      <c r="C14" t="s">
        <v>10</v>
      </c>
      <c r="D14">
        <f t="shared" si="0"/>
        <v>48.996413500053606</v>
      </c>
      <c r="E14"/>
      <c r="F14" t="s">
        <v>10</v>
      </c>
      <c r="G14">
        <f t="shared" si="4"/>
        <v>83.535886115632138</v>
      </c>
      <c r="H14"/>
      <c r="I14" t="s">
        <v>10</v>
      </c>
      <c r="J14">
        <f t="shared" si="5"/>
        <v>7133.0283804832843</v>
      </c>
      <c r="K14">
        <v>22012.262594799351</v>
      </c>
      <c r="L14" t="s">
        <v>10</v>
      </c>
      <c r="M14">
        <f t="shared" si="6"/>
        <v>0.34908372073380312</v>
      </c>
      <c r="N14">
        <v>14.265690958987074</v>
      </c>
    </row>
    <row r="15" spans="1:14" x14ac:dyDescent="0.3">
      <c r="A15" t="s">
        <v>16</v>
      </c>
      <c r="B15">
        <v>2.7</v>
      </c>
      <c r="C15" t="s">
        <v>13</v>
      </c>
      <c r="D15">
        <f t="shared" si="0"/>
        <v>37.811450236718549</v>
      </c>
      <c r="E15">
        <v>26.701068252275018</v>
      </c>
      <c r="F15" t="s">
        <v>13</v>
      </c>
      <c r="G15">
        <f t="shared" si="4"/>
        <v>76.54947515928572</v>
      </c>
      <c r="H15">
        <v>49.044339318427966</v>
      </c>
      <c r="I15" t="s">
        <v>13</v>
      </c>
      <c r="J15">
        <f t="shared" si="5"/>
        <v>38231.774484277987</v>
      </c>
      <c r="K15">
        <v>65058.37731466737</v>
      </c>
      <c r="L15" t="s">
        <v>13</v>
      </c>
      <c r="M15">
        <f t="shared" si="6"/>
        <v>2.111519353762247</v>
      </c>
      <c r="N15">
        <v>2.0361470438956357</v>
      </c>
    </row>
    <row r="16" spans="1:14" x14ac:dyDescent="0.3">
      <c r="A16" t="s">
        <v>17</v>
      </c>
      <c r="B16">
        <v>3.5</v>
      </c>
      <c r="C16" t="s">
        <v>14</v>
      </c>
      <c r="D16">
        <f t="shared" si="0"/>
        <v>87.351143952571036</v>
      </c>
      <c r="E16">
        <v>58.486759571394387</v>
      </c>
      <c r="F16" t="s">
        <v>14</v>
      </c>
      <c r="G16">
        <f t="shared" si="4"/>
        <v>157.44785468229745</v>
      </c>
      <c r="H16">
        <v>115.15291482273196</v>
      </c>
      <c r="I16" t="s">
        <v>14</v>
      </c>
      <c r="J16">
        <f t="shared" si="5"/>
        <v>29290.128421509831</v>
      </c>
      <c r="K16">
        <v>56579.504175467991</v>
      </c>
      <c r="L16" t="s">
        <v>14</v>
      </c>
      <c r="M16">
        <f t="shared" si="6"/>
        <v>15.642875608364426</v>
      </c>
      <c r="N16">
        <v>0.56611237032270723</v>
      </c>
    </row>
    <row r="17" spans="1:14" x14ac:dyDescent="0.3">
      <c r="A17" t="s">
        <v>18</v>
      </c>
      <c r="B17">
        <v>2.6</v>
      </c>
      <c r="C17" t="s">
        <v>15</v>
      </c>
      <c r="D17">
        <f t="shared" si="0"/>
        <v>13.15716383412045</v>
      </c>
      <c r="E17">
        <v>48.996413500053606</v>
      </c>
      <c r="F17" t="s">
        <v>15</v>
      </c>
      <c r="G17">
        <f t="shared" si="4"/>
        <v>30.982971410459648</v>
      </c>
      <c r="H17">
        <v>83.535886115632138</v>
      </c>
      <c r="I17" t="s">
        <v>15</v>
      </c>
      <c r="J17">
        <f t="shared" si="5"/>
        <v>2551.017738273069</v>
      </c>
      <c r="K17">
        <v>7133.0283804832843</v>
      </c>
      <c r="L17" t="s">
        <v>15</v>
      </c>
      <c r="M17">
        <f t="shared" si="6"/>
        <v>0.33572150529896799</v>
      </c>
      <c r="N17">
        <v>0.34908372073380312</v>
      </c>
    </row>
    <row r="18" spans="1:14" x14ac:dyDescent="0.3">
      <c r="A18" t="s">
        <v>183</v>
      </c>
      <c r="B18">
        <v>0</v>
      </c>
      <c r="C18" t="s">
        <v>30</v>
      </c>
      <c r="D18">
        <f t="shared" si="0"/>
        <v>0</v>
      </c>
      <c r="E18"/>
      <c r="F18" t="s">
        <v>30</v>
      </c>
      <c r="G18">
        <f t="shared" si="4"/>
        <v>0</v>
      </c>
      <c r="H18"/>
      <c r="I18" t="s">
        <v>30</v>
      </c>
      <c r="J18">
        <f t="shared" si="5"/>
        <v>25583.872230250483</v>
      </c>
      <c r="K18">
        <v>249.79516403902863</v>
      </c>
      <c r="L18" t="s">
        <v>30</v>
      </c>
      <c r="M18">
        <f t="shared" si="6"/>
        <v>3.1135577143365896</v>
      </c>
      <c r="N18">
        <v>0.99426047768310011</v>
      </c>
    </row>
    <row r="19" spans="1:14" x14ac:dyDescent="0.3">
      <c r="A19" t="s">
        <v>19</v>
      </c>
      <c r="B19">
        <v>2.7</v>
      </c>
      <c r="C19" t="s">
        <v>20</v>
      </c>
      <c r="D19">
        <f t="shared" si="0"/>
        <v>66.026728571494104</v>
      </c>
      <c r="E19">
        <v>82.813298297878347</v>
      </c>
      <c r="F19" t="s">
        <v>20</v>
      </c>
      <c r="G19">
        <f t="shared" si="4"/>
        <v>131.58467488496072</v>
      </c>
      <c r="H19">
        <v>165.98744073644238</v>
      </c>
      <c r="I19" t="s">
        <v>20</v>
      </c>
      <c r="J19">
        <f t="shared" si="5"/>
        <v>7896.7538829558362</v>
      </c>
      <c r="K19">
        <v>55244.68145810999</v>
      </c>
      <c r="L19" t="s">
        <v>20</v>
      </c>
      <c r="M19">
        <f t="shared" si="6"/>
        <v>2.7485400109890112</v>
      </c>
      <c r="N19">
        <v>-0.65273382159180848</v>
      </c>
    </row>
    <row r="20" spans="1:14" x14ac:dyDescent="0.3">
      <c r="A20" t="s">
        <v>20</v>
      </c>
      <c r="B20">
        <v>4</v>
      </c>
      <c r="C20" t="s">
        <v>21</v>
      </c>
      <c r="D20">
        <f t="shared" si="0"/>
        <v>82.813298297878347</v>
      </c>
      <c r="E20">
        <v>20.003519091069048</v>
      </c>
      <c r="F20" t="s">
        <v>21</v>
      </c>
      <c r="G20">
        <f t="shared" si="4"/>
        <v>165.98744073644238</v>
      </c>
      <c r="H20">
        <v>44.663130818021095</v>
      </c>
      <c r="I20" t="s">
        <v>21</v>
      </c>
      <c r="J20">
        <f t="shared" si="5"/>
        <v>55244.68145810999</v>
      </c>
      <c r="K20">
        <v>1394.1778472183137</v>
      </c>
      <c r="L20" t="s">
        <v>21</v>
      </c>
      <c r="M20">
        <f t="shared" si="6"/>
        <v>-0.65273382159180848</v>
      </c>
      <c r="N20">
        <v>2.2515809088195708</v>
      </c>
    </row>
    <row r="21" spans="1:14" x14ac:dyDescent="0.3">
      <c r="A21" t="s">
        <v>181</v>
      </c>
      <c r="B21">
        <v>0</v>
      </c>
      <c r="C21" t="s">
        <v>29</v>
      </c>
      <c r="D21">
        <f t="shared" si="0"/>
        <v>54.93084185131147</v>
      </c>
      <c r="E21">
        <v>28.949425477890589</v>
      </c>
      <c r="F21" t="s">
        <v>29</v>
      </c>
      <c r="G21">
        <f t="shared" si="4"/>
        <v>106.40050585077103</v>
      </c>
      <c r="H21">
        <v>63.153043587396354</v>
      </c>
      <c r="I21" t="s">
        <v>29</v>
      </c>
      <c r="J21">
        <f t="shared" si="5"/>
        <v>7424.7582132102179</v>
      </c>
      <c r="K21">
        <v>873.1980616702474</v>
      </c>
      <c r="L21" t="s">
        <v>29</v>
      </c>
      <c r="M21">
        <f t="shared" si="6"/>
        <v>0.55331009003432152</v>
      </c>
      <c r="N21">
        <v>0.5443072348388599</v>
      </c>
    </row>
    <row r="22" spans="1:14" x14ac:dyDescent="0.3">
      <c r="A22" t="s">
        <v>21</v>
      </c>
      <c r="B22">
        <v>2.9</v>
      </c>
      <c r="C22" t="s">
        <v>18</v>
      </c>
      <c r="D22">
        <f t="shared" si="0"/>
        <v>20.003519091069048</v>
      </c>
      <c r="E22">
        <v>13.15716383412045</v>
      </c>
      <c r="F22" t="s">
        <v>18</v>
      </c>
      <c r="G22">
        <f t="shared" si="4"/>
        <v>44.663130818021095</v>
      </c>
      <c r="H22">
        <v>30.982971410459648</v>
      </c>
      <c r="I22" t="s">
        <v>18</v>
      </c>
      <c r="J22">
        <f t="shared" si="5"/>
        <v>1394.1778472183137</v>
      </c>
      <c r="K22">
        <v>2551.017738273069</v>
      </c>
      <c r="L22" t="s">
        <v>18</v>
      </c>
      <c r="M22">
        <f t="shared" si="6"/>
        <v>2.2515809088195708</v>
      </c>
      <c r="N22">
        <v>0.33572150529896799</v>
      </c>
    </row>
    <row r="23" spans="1:14" x14ac:dyDescent="0.3">
      <c r="A23" t="s">
        <v>182</v>
      </c>
      <c r="B23">
        <v>0</v>
      </c>
      <c r="C23" t="s">
        <v>28</v>
      </c>
      <c r="D23">
        <f t="shared" si="0"/>
        <v>52.760568030168464</v>
      </c>
      <c r="E23">
        <v>62.004974636050662</v>
      </c>
      <c r="F23" t="s">
        <v>28</v>
      </c>
      <c r="G23">
        <f t="shared" si="4"/>
        <v>77.64652955700528</v>
      </c>
      <c r="H23">
        <v>119.8995058519162</v>
      </c>
      <c r="I23" t="s">
        <v>28</v>
      </c>
      <c r="J23">
        <f t="shared" si="5"/>
        <v>132961.76079631518</v>
      </c>
      <c r="K23">
        <v>15854.019289377175</v>
      </c>
      <c r="L23" t="s">
        <v>28</v>
      </c>
      <c r="M23">
        <f t="shared" si="6"/>
        <v>1.753098617953492</v>
      </c>
      <c r="N23">
        <v>5.058624775104108</v>
      </c>
    </row>
    <row r="24" spans="1:14" x14ac:dyDescent="0.3">
      <c r="A24" t="s">
        <v>22</v>
      </c>
      <c r="B24">
        <v>2.5</v>
      </c>
      <c r="C24" t="s">
        <v>17</v>
      </c>
      <c r="D24">
        <f t="shared" si="0"/>
        <v>28.388107897565774</v>
      </c>
      <c r="E24">
        <v>87.351143952571036</v>
      </c>
      <c r="F24" t="s">
        <v>17</v>
      </c>
      <c r="G24">
        <f t="shared" si="4"/>
        <v>81.736627853981091</v>
      </c>
      <c r="H24">
        <v>157.44785468229745</v>
      </c>
      <c r="I24" t="s">
        <v>17</v>
      </c>
      <c r="J24">
        <f t="shared" si="5"/>
        <v>3831.3253556432637</v>
      </c>
      <c r="K24">
        <v>29290.128421509831</v>
      </c>
      <c r="L24" t="s">
        <v>17</v>
      </c>
      <c r="M24">
        <f t="shared" si="6"/>
        <v>0.33833956652294567</v>
      </c>
      <c r="N24">
        <v>15.642875608364426</v>
      </c>
    </row>
    <row r="25" spans="1:14" x14ac:dyDescent="0.3">
      <c r="A25" t="s">
        <v>23</v>
      </c>
      <c r="B25">
        <v>2.4</v>
      </c>
      <c r="C25" t="s">
        <v>16</v>
      </c>
      <c r="D25">
        <f t="shared" si="0"/>
        <v>22.402809538164856</v>
      </c>
      <c r="E25">
        <v>37.811450236718549</v>
      </c>
      <c r="F25" t="s">
        <v>16</v>
      </c>
      <c r="G25">
        <f t="shared" si="4"/>
        <v>49.608325559459686</v>
      </c>
      <c r="H25">
        <v>76.54947515928572</v>
      </c>
      <c r="I25" t="s">
        <v>16</v>
      </c>
      <c r="J25">
        <f t="shared" si="5"/>
        <v>4274.7082054761304</v>
      </c>
      <c r="K25">
        <v>38231.774484277987</v>
      </c>
      <c r="L25" t="s">
        <v>16</v>
      </c>
      <c r="M25">
        <f t="shared" si="6"/>
        <v>0.45881248026539873</v>
      </c>
      <c r="N25">
        <v>2.111519353762247</v>
      </c>
    </row>
    <row r="26" spans="1:14" x14ac:dyDescent="0.3">
      <c r="A26" t="s">
        <v>24</v>
      </c>
      <c r="B26">
        <v>3</v>
      </c>
      <c r="C26" t="s">
        <v>24</v>
      </c>
      <c r="D26">
        <f t="shared" si="0"/>
        <v>43.931739817813806</v>
      </c>
      <c r="E26">
        <v>43.931739817813806</v>
      </c>
      <c r="F26" t="s">
        <v>24</v>
      </c>
      <c r="G26">
        <f t="shared" si="4"/>
        <v>99.633031795444211</v>
      </c>
      <c r="H26">
        <v>99.633031795444211</v>
      </c>
      <c r="I26" t="s">
        <v>24</v>
      </c>
      <c r="J26">
        <f t="shared" si="5"/>
        <v>8663.0232645862925</v>
      </c>
      <c r="K26">
        <v>8663.0232645862925</v>
      </c>
      <c r="L26" t="s">
        <v>24</v>
      </c>
      <c r="M26">
        <f t="shared" si="6"/>
        <v>4.0920266922728992</v>
      </c>
      <c r="N26">
        <v>4.0920266922728992</v>
      </c>
    </row>
    <row r="27" spans="1:14" x14ac:dyDescent="0.3">
      <c r="A27" t="s">
        <v>25</v>
      </c>
      <c r="B27">
        <v>3.1</v>
      </c>
      <c r="C27" t="s">
        <v>19</v>
      </c>
      <c r="D27">
        <f t="shared" si="0"/>
        <v>32.896892879468673</v>
      </c>
      <c r="E27">
        <v>66.026728571494104</v>
      </c>
      <c r="F27" t="s">
        <v>19</v>
      </c>
      <c r="G27">
        <f t="shared" si="4"/>
        <v>70.112832732450912</v>
      </c>
      <c r="H27">
        <v>131.58467488496072</v>
      </c>
      <c r="I27" t="s">
        <v>19</v>
      </c>
      <c r="J27">
        <f t="shared" si="5"/>
        <v>7827.3002796073433</v>
      </c>
      <c r="K27">
        <v>7896.7538829558362</v>
      </c>
      <c r="L27" t="s">
        <v>19</v>
      </c>
      <c r="M27">
        <f t="shared" si="6"/>
        <v>3.819651234907901</v>
      </c>
      <c r="N27">
        <v>2.7485400109890112</v>
      </c>
    </row>
    <row r="28" spans="1:14" x14ac:dyDescent="0.3">
      <c r="A28" t="s">
        <v>26</v>
      </c>
      <c r="B28">
        <v>3.2</v>
      </c>
      <c r="C28" t="s">
        <v>181</v>
      </c>
      <c r="D28">
        <f t="shared" si="0"/>
        <v>17.969324303274053</v>
      </c>
      <c r="E28">
        <v>54.93084185131147</v>
      </c>
      <c r="F28" t="s">
        <v>181</v>
      </c>
      <c r="G28">
        <f t="shared" si="4"/>
        <v>33.666229830143799</v>
      </c>
      <c r="H28">
        <v>106.40050585077103</v>
      </c>
      <c r="I28" t="s">
        <v>181</v>
      </c>
      <c r="J28">
        <f t="shared" si="5"/>
        <v>10377.589279255684</v>
      </c>
      <c r="K28">
        <v>7424.7582132102179</v>
      </c>
      <c r="L28" t="s">
        <v>181</v>
      </c>
      <c r="M28">
        <f t="shared" si="6"/>
        <v>2.863833442982072</v>
      </c>
      <c r="N28">
        <v>0.55331009003432152</v>
      </c>
    </row>
    <row r="29" spans="1:14" x14ac:dyDescent="0.3">
      <c r="A29" t="s">
        <v>266</v>
      </c>
      <c r="B29">
        <v>0</v>
      </c>
      <c r="C29" t="s">
        <v>182</v>
      </c>
      <c r="D29">
        <f t="shared" si="0"/>
        <v>0</v>
      </c>
      <c r="E29">
        <v>52.760568030168464</v>
      </c>
      <c r="F29" t="s">
        <v>182</v>
      </c>
      <c r="G29">
        <f t="shared" si="4"/>
        <v>0</v>
      </c>
      <c r="H29">
        <v>77.64652955700528</v>
      </c>
      <c r="I29" t="s">
        <v>182</v>
      </c>
      <c r="J29">
        <f t="shared" si="5"/>
        <v>0</v>
      </c>
      <c r="K29">
        <v>132961.76079631518</v>
      </c>
      <c r="L29" t="s">
        <v>182</v>
      </c>
      <c r="M29">
        <f t="shared" si="6"/>
        <v>0</v>
      </c>
      <c r="N29">
        <v>1.753098617953492</v>
      </c>
    </row>
    <row r="30" spans="1:14" x14ac:dyDescent="0.3">
      <c r="A30" t="s">
        <v>27</v>
      </c>
      <c r="B30">
        <v>0</v>
      </c>
      <c r="C30" t="s">
        <v>23</v>
      </c>
      <c r="D30">
        <f t="shared" si="0"/>
        <v>76.703202480520488</v>
      </c>
      <c r="E30">
        <v>22.402809538164856</v>
      </c>
      <c r="F30" t="s">
        <v>23</v>
      </c>
      <c r="G30">
        <f t="shared" si="4"/>
        <v>136.86343465047977</v>
      </c>
      <c r="H30">
        <v>49.608325559459686</v>
      </c>
      <c r="I30" t="s">
        <v>23</v>
      </c>
      <c r="J30">
        <f t="shared" si="5"/>
        <v>32890.549181201932</v>
      </c>
      <c r="K30">
        <v>4274.7082054761304</v>
      </c>
      <c r="L30" t="s">
        <v>23</v>
      </c>
      <c r="M30">
        <f t="shared" si="6"/>
        <v>-0.37050451622702002</v>
      </c>
      <c r="N30">
        <v>0.45881248026539873</v>
      </c>
    </row>
    <row r="31" spans="1:14" x14ac:dyDescent="0.3">
      <c r="A31" t="s">
        <v>28</v>
      </c>
      <c r="B31">
        <v>3.2</v>
      </c>
      <c r="C31" t="s">
        <v>26</v>
      </c>
      <c r="D31">
        <f t="shared" si="0"/>
        <v>62.004974636050662</v>
      </c>
      <c r="E31">
        <v>17.969324303274053</v>
      </c>
      <c r="F31" t="s">
        <v>26</v>
      </c>
      <c r="G31">
        <f t="shared" si="4"/>
        <v>119.8995058519162</v>
      </c>
      <c r="H31">
        <v>33.666229830143799</v>
      </c>
      <c r="I31" t="s">
        <v>26</v>
      </c>
      <c r="J31">
        <f t="shared" si="5"/>
        <v>15854.019289377175</v>
      </c>
      <c r="K31">
        <v>10377.589279255684</v>
      </c>
      <c r="L31" t="s">
        <v>26</v>
      </c>
      <c r="M31">
        <f t="shared" si="6"/>
        <v>5.058624775104108</v>
      </c>
      <c r="N31">
        <v>2.863833442982072</v>
      </c>
    </row>
    <row r="32" spans="1:14" x14ac:dyDescent="0.3">
      <c r="A32" t="s">
        <v>29</v>
      </c>
      <c r="B32">
        <v>2.2999999999999998</v>
      </c>
      <c r="C32" t="s">
        <v>183</v>
      </c>
      <c r="D32">
        <f t="shared" si="0"/>
        <v>28.949425477890589</v>
      </c>
      <c r="E32"/>
      <c r="F32" t="s">
        <v>183</v>
      </c>
      <c r="G32">
        <f t="shared" si="4"/>
        <v>63.153043587396354</v>
      </c>
      <c r="H32"/>
      <c r="I32" t="s">
        <v>183</v>
      </c>
      <c r="J32">
        <f t="shared" si="5"/>
        <v>873.1980616702474</v>
      </c>
      <c r="K32">
        <v>25583.872230250483</v>
      </c>
      <c r="L32" t="s">
        <v>183</v>
      </c>
      <c r="M32">
        <f t="shared" si="6"/>
        <v>0.5443072348388599</v>
      </c>
      <c r="N32">
        <v>3.1135577143365896</v>
      </c>
    </row>
    <row r="33" spans="1:14" x14ac:dyDescent="0.3">
      <c r="A33" t="s">
        <v>30</v>
      </c>
      <c r="B33">
        <v>0</v>
      </c>
      <c r="C33" t="s">
        <v>27</v>
      </c>
      <c r="D33">
        <f t="shared" si="0"/>
        <v>0</v>
      </c>
      <c r="E33">
        <v>76.703202480520488</v>
      </c>
      <c r="F33" t="s">
        <v>27</v>
      </c>
      <c r="G33">
        <f t="shared" si="4"/>
        <v>0</v>
      </c>
      <c r="H33">
        <v>136.86343465047977</v>
      </c>
      <c r="I33" t="s">
        <v>27</v>
      </c>
      <c r="J33">
        <f t="shared" si="5"/>
        <v>249.79516403902863</v>
      </c>
      <c r="K33">
        <v>32890.549181201932</v>
      </c>
      <c r="L33" t="s">
        <v>27</v>
      </c>
      <c r="M33">
        <f t="shared" si="6"/>
        <v>0.99426047768310011</v>
      </c>
      <c r="N33">
        <v>-0.37050451622702002</v>
      </c>
    </row>
    <row r="34" spans="1:14" x14ac:dyDescent="0.3">
      <c r="A34" t="s">
        <v>186</v>
      </c>
      <c r="B34">
        <v>0</v>
      </c>
      <c r="C34" t="s">
        <v>22</v>
      </c>
      <c r="D34">
        <f t="shared" si="0"/>
        <v>39.28050484954953</v>
      </c>
      <c r="E34">
        <v>28.388107897565774</v>
      </c>
      <c r="F34" t="s">
        <v>22</v>
      </c>
      <c r="G34">
        <f t="shared" si="4"/>
        <v>95.032494334669181</v>
      </c>
      <c r="H34">
        <v>81.736627853981091</v>
      </c>
      <c r="I34" t="s">
        <v>22</v>
      </c>
      <c r="J34">
        <f t="shared" si="5"/>
        <v>4794.9011977284281</v>
      </c>
      <c r="K34">
        <v>3831.3253556432637</v>
      </c>
      <c r="L34" t="s">
        <v>22</v>
      </c>
      <c r="M34">
        <f t="shared" si="6"/>
        <v>6.3379627213115866</v>
      </c>
      <c r="N34">
        <v>0.33833956652294567</v>
      </c>
    </row>
    <row r="35" spans="1:14" x14ac:dyDescent="0.3">
      <c r="A35" t="s">
        <v>31</v>
      </c>
      <c r="B35">
        <v>2.4</v>
      </c>
      <c r="C35" t="s">
        <v>25</v>
      </c>
      <c r="D35">
        <f t="shared" si="0"/>
        <v>66.892666055217063</v>
      </c>
      <c r="E35">
        <v>32.896892879468673</v>
      </c>
      <c r="F35" t="s">
        <v>25</v>
      </c>
      <c r="G35">
        <f t="shared" si="4"/>
        <v>134.20684239593064</v>
      </c>
      <c r="H35">
        <v>70.112832732450912</v>
      </c>
      <c r="I35" t="s">
        <v>25</v>
      </c>
      <c r="J35">
        <f t="shared" si="5"/>
        <v>2429.7485345283822</v>
      </c>
      <c r="K35">
        <v>7827.3002796073433</v>
      </c>
      <c r="L35" t="s">
        <v>25</v>
      </c>
      <c r="M35">
        <f t="shared" si="6"/>
        <v>9.3509670198975776</v>
      </c>
      <c r="N35">
        <v>3.819651234907901</v>
      </c>
    </row>
    <row r="36" spans="1:14" x14ac:dyDescent="0.3">
      <c r="A36" t="s">
        <v>32</v>
      </c>
      <c r="B36">
        <v>2.1</v>
      </c>
      <c r="C36" t="s">
        <v>34</v>
      </c>
      <c r="D36">
        <f t="shared" si="0"/>
        <v>16.852756219308734</v>
      </c>
      <c r="E36">
        <v>14.44082620937337</v>
      </c>
      <c r="F36" t="s">
        <v>34</v>
      </c>
      <c r="G36">
        <f t="shared" si="4"/>
        <v>37.890332124257839</v>
      </c>
      <c r="H36">
        <v>43.480570208358003</v>
      </c>
      <c r="I36" t="s">
        <v>34</v>
      </c>
      <c r="J36">
        <f t="shared" si="5"/>
        <v>1720.4751015450624</v>
      </c>
      <c r="K36">
        <v>495.97889728872059</v>
      </c>
      <c r="L36" t="s">
        <v>34</v>
      </c>
      <c r="M36">
        <f t="shared" si="6"/>
        <v>1.6829965628995418</v>
      </c>
      <c r="N36">
        <v>1.5160465654754434</v>
      </c>
    </row>
    <row r="37" spans="1:14" x14ac:dyDescent="0.3">
      <c r="A37" t="s">
        <v>33</v>
      </c>
      <c r="B37">
        <v>4</v>
      </c>
      <c r="C37" t="s">
        <v>33</v>
      </c>
      <c r="D37">
        <f t="shared" si="0"/>
        <v>33.341652049894762</v>
      </c>
      <c r="E37">
        <v>33.341652049894762</v>
      </c>
      <c r="F37" t="s">
        <v>33</v>
      </c>
      <c r="G37">
        <f t="shared" si="4"/>
        <v>66.574542501503274</v>
      </c>
      <c r="H37">
        <v>66.574542501503274</v>
      </c>
      <c r="I37" t="s">
        <v>33</v>
      </c>
      <c r="J37">
        <f t="shared" si="5"/>
        <v>54847.537011265194</v>
      </c>
      <c r="K37">
        <v>54847.537011265194</v>
      </c>
      <c r="L37" t="s">
        <v>33</v>
      </c>
      <c r="M37">
        <f t="shared" si="6"/>
        <v>1.9984159717384715</v>
      </c>
      <c r="N37">
        <v>1.9984159717384715</v>
      </c>
    </row>
    <row r="38" spans="1:14" x14ac:dyDescent="0.3">
      <c r="A38" t="s">
        <v>189</v>
      </c>
      <c r="B38">
        <v>0</v>
      </c>
      <c r="C38" t="s">
        <v>184</v>
      </c>
      <c r="D38">
        <f t="shared" si="0"/>
        <v>0</v>
      </c>
      <c r="E38">
        <v>62.722090406346453</v>
      </c>
      <c r="F38" t="s">
        <v>184</v>
      </c>
      <c r="G38">
        <f t="shared" si="4"/>
        <v>0</v>
      </c>
      <c r="H38">
        <v>123.59332393531312</v>
      </c>
      <c r="I38" t="s">
        <v>184</v>
      </c>
      <c r="J38">
        <f t="shared" si="5"/>
        <v>100065.23384110707</v>
      </c>
      <c r="K38">
        <v>22693.95044705657</v>
      </c>
      <c r="L38" t="s">
        <v>184</v>
      </c>
      <c r="M38">
        <f t="shared" si="6"/>
        <v>165.45813391078124</v>
      </c>
      <c r="N38">
        <v>0.28901619499432396</v>
      </c>
    </row>
    <row r="39" spans="1:14" x14ac:dyDescent="0.3">
      <c r="A39" t="s">
        <v>34</v>
      </c>
      <c r="B39">
        <v>2.5</v>
      </c>
      <c r="C39" t="s">
        <v>151</v>
      </c>
      <c r="D39">
        <f t="shared" si="0"/>
        <v>14.44082620937337</v>
      </c>
      <c r="E39">
        <v>70.318738165455727</v>
      </c>
      <c r="F39" t="s">
        <v>151</v>
      </c>
      <c r="G39">
        <f t="shared" si="4"/>
        <v>43.480570208358003</v>
      </c>
      <c r="H39">
        <v>129.73719454839997</v>
      </c>
      <c r="I39" t="s">
        <v>151</v>
      </c>
      <c r="J39">
        <f t="shared" si="5"/>
        <v>495.97889728872059</v>
      </c>
      <c r="K39">
        <v>104449.75451771976</v>
      </c>
      <c r="L39" t="s">
        <v>151</v>
      </c>
      <c r="M39">
        <f t="shared" si="6"/>
        <v>1.5160465654754434</v>
      </c>
      <c r="N39">
        <v>-12.435827337439996</v>
      </c>
    </row>
    <row r="40" spans="1:14" x14ac:dyDescent="0.3">
      <c r="A40" t="s">
        <v>35</v>
      </c>
      <c r="B40">
        <v>0</v>
      </c>
      <c r="C40" t="s">
        <v>185</v>
      </c>
      <c r="D40">
        <f t="shared" si="0"/>
        <v>29.101589360796389</v>
      </c>
      <c r="E40"/>
      <c r="F40" t="s">
        <v>185</v>
      </c>
      <c r="G40">
        <f t="shared" si="4"/>
        <v>46.862648875972759</v>
      </c>
      <c r="H40"/>
      <c r="I40" t="s">
        <v>185</v>
      </c>
      <c r="J40">
        <f t="shared" si="5"/>
        <v>949.99105423626645</v>
      </c>
      <c r="K40">
        <v>74585.522409629426</v>
      </c>
      <c r="L40" t="s">
        <v>185</v>
      </c>
      <c r="M40">
        <f t="shared" si="6"/>
        <v>4.9764932523801608</v>
      </c>
      <c r="N40"/>
    </row>
    <row r="41" spans="1:14" x14ac:dyDescent="0.3">
      <c r="A41" t="s">
        <v>185</v>
      </c>
      <c r="B41">
        <v>0</v>
      </c>
      <c r="C41" t="s">
        <v>36</v>
      </c>
      <c r="D41">
        <f t="shared" si="0"/>
        <v>0</v>
      </c>
      <c r="E41">
        <v>30.775061743363729</v>
      </c>
      <c r="F41" t="s">
        <v>36</v>
      </c>
      <c r="G41">
        <f t="shared" si="4"/>
        <v>0</v>
      </c>
      <c r="H41">
        <v>60.676644473615724</v>
      </c>
      <c r="I41" t="s">
        <v>36</v>
      </c>
      <c r="J41">
        <f t="shared" si="5"/>
        <v>74585.522409629426</v>
      </c>
      <c r="K41">
        <v>17081.518074004885</v>
      </c>
      <c r="L41" t="s">
        <v>36</v>
      </c>
      <c r="M41">
        <f t="shared" si="6"/>
        <v>0</v>
      </c>
      <c r="N41">
        <v>5.7234067595637406</v>
      </c>
    </row>
    <row r="42" spans="1:14" x14ac:dyDescent="0.3">
      <c r="A42" t="s">
        <v>36</v>
      </c>
      <c r="B42">
        <v>3</v>
      </c>
      <c r="C42" t="s">
        <v>37</v>
      </c>
      <c r="D42">
        <f t="shared" si="0"/>
        <v>30.775061743363729</v>
      </c>
      <c r="E42">
        <v>19.402309164837643</v>
      </c>
      <c r="F42" t="s">
        <v>37</v>
      </c>
      <c r="G42">
        <f t="shared" si="4"/>
        <v>60.676644473615724</v>
      </c>
      <c r="H42">
        <v>36.739149693839401</v>
      </c>
      <c r="I42" t="s">
        <v>37</v>
      </c>
      <c r="J42">
        <f t="shared" si="5"/>
        <v>17081.518074004885</v>
      </c>
      <c r="K42">
        <v>12951.178239704273</v>
      </c>
      <c r="L42" t="s">
        <v>37</v>
      </c>
      <c r="M42">
        <f t="shared" si="6"/>
        <v>5.7234067595637406</v>
      </c>
      <c r="N42">
        <v>0.28099110363481639</v>
      </c>
    </row>
    <row r="43" spans="1:14" x14ac:dyDescent="0.3">
      <c r="A43" t="s">
        <v>37</v>
      </c>
      <c r="B43">
        <v>3.7</v>
      </c>
      <c r="C43" t="s">
        <v>43</v>
      </c>
      <c r="D43">
        <f t="shared" si="0"/>
        <v>19.402309164837643</v>
      </c>
      <c r="E43">
        <v>22.435339050714084</v>
      </c>
      <c r="F43" t="s">
        <v>43</v>
      </c>
      <c r="G43">
        <f t="shared" si="4"/>
        <v>36.739149693839401</v>
      </c>
      <c r="H43">
        <v>48.817003910333163</v>
      </c>
      <c r="I43" t="s">
        <v>43</v>
      </c>
      <c r="J43">
        <f t="shared" si="5"/>
        <v>12951.178239704273</v>
      </c>
      <c r="K43">
        <v>2591.9659048118979</v>
      </c>
      <c r="L43" t="s">
        <v>43</v>
      </c>
      <c r="M43">
        <f t="shared" si="6"/>
        <v>0.28099110363481639</v>
      </c>
      <c r="N43">
        <v>3.0764143361841438</v>
      </c>
    </row>
    <row r="44" spans="1:14" x14ac:dyDescent="0.3">
      <c r="A44" t="s">
        <v>38</v>
      </c>
      <c r="B44">
        <v>2.9</v>
      </c>
      <c r="C44" t="s">
        <v>32</v>
      </c>
      <c r="D44">
        <f t="shared" si="0"/>
        <v>17.807774697580644</v>
      </c>
      <c r="E44">
        <v>16.852756219308734</v>
      </c>
      <c r="F44" t="s">
        <v>32</v>
      </c>
      <c r="G44">
        <f t="shared" si="4"/>
        <v>40.133316532258064</v>
      </c>
      <c r="H44">
        <v>37.890332124257839</v>
      </c>
      <c r="I44" t="s">
        <v>32</v>
      </c>
      <c r="J44">
        <f t="shared" si="5"/>
        <v>7012.4916913775578</v>
      </c>
      <c r="K44">
        <v>1720.4751015450624</v>
      </c>
      <c r="L44" t="s">
        <v>32</v>
      </c>
      <c r="M44">
        <f t="shared" si="6"/>
        <v>4.5771674827926319</v>
      </c>
      <c r="N44">
        <v>1.6829965628995418</v>
      </c>
    </row>
    <row r="45" spans="1:14" x14ac:dyDescent="0.3">
      <c r="A45" t="s">
        <v>39</v>
      </c>
      <c r="B45">
        <v>0</v>
      </c>
      <c r="C45" t="s">
        <v>40</v>
      </c>
      <c r="D45">
        <f t="shared" si="0"/>
        <v>10.31083631805963</v>
      </c>
      <c r="E45">
        <v>42.053983521119207</v>
      </c>
      <c r="F45" t="s">
        <v>40</v>
      </c>
      <c r="G45">
        <f t="shared" si="4"/>
        <v>44.439863449708923</v>
      </c>
      <c r="H45">
        <v>86.740058179828864</v>
      </c>
      <c r="I45" t="s">
        <v>40</v>
      </c>
      <c r="J45">
        <f t="shared" si="5"/>
        <v>1723.8947494647398</v>
      </c>
      <c r="K45">
        <v>660.21205238997027</v>
      </c>
      <c r="L45" t="s">
        <v>40</v>
      </c>
      <c r="M45">
        <f t="shared" si="6"/>
        <v>0.3651320856795256</v>
      </c>
      <c r="N45">
        <v>3.4008226975757836</v>
      </c>
    </row>
    <row r="46" spans="1:14" x14ac:dyDescent="0.3">
      <c r="A46" t="s">
        <v>40</v>
      </c>
      <c r="B46">
        <v>2.5</v>
      </c>
      <c r="C46" t="s">
        <v>41</v>
      </c>
      <c r="D46">
        <f t="shared" si="0"/>
        <v>42.053983521119207</v>
      </c>
      <c r="E46">
        <v>56.89592780338586</v>
      </c>
      <c r="F46" t="s">
        <v>41</v>
      </c>
      <c r="G46">
        <f t="shared" si="4"/>
        <v>86.740058179828864</v>
      </c>
      <c r="H46">
        <v>96.210394403961828</v>
      </c>
      <c r="I46" t="s">
        <v>41</v>
      </c>
      <c r="J46">
        <f t="shared" si="5"/>
        <v>660.21205238997027</v>
      </c>
      <c r="K46">
        <v>2477.9784554486619</v>
      </c>
      <c r="L46" t="s">
        <v>41</v>
      </c>
      <c r="M46">
        <f t="shared" si="6"/>
        <v>3.4008226975757836</v>
      </c>
      <c r="N46">
        <v>4.0889721782704971</v>
      </c>
    </row>
    <row r="47" spans="1:14" x14ac:dyDescent="0.3">
      <c r="A47" t="s">
        <v>41</v>
      </c>
      <c r="B47">
        <v>2.6</v>
      </c>
      <c r="C47" t="s">
        <v>38</v>
      </c>
      <c r="D47">
        <f t="shared" si="0"/>
        <v>56.89592780338586</v>
      </c>
      <c r="E47">
        <v>17.807774697580644</v>
      </c>
      <c r="F47" t="s">
        <v>38</v>
      </c>
      <c r="G47">
        <f t="shared" si="4"/>
        <v>96.210394403961828</v>
      </c>
      <c r="H47">
        <v>40.133316532258064</v>
      </c>
      <c r="I47" t="s">
        <v>38</v>
      </c>
      <c r="J47">
        <f t="shared" si="5"/>
        <v>2477.9784554486619</v>
      </c>
      <c r="K47">
        <v>7012.4916913775578</v>
      </c>
      <c r="L47" t="s">
        <v>38</v>
      </c>
      <c r="M47">
        <f t="shared" si="6"/>
        <v>4.0889721782704971</v>
      </c>
      <c r="N47">
        <v>4.5771674827926319</v>
      </c>
    </row>
    <row r="48" spans="1:14" x14ac:dyDescent="0.3">
      <c r="A48" t="s">
        <v>42</v>
      </c>
      <c r="B48">
        <v>2.9</v>
      </c>
      <c r="C48" t="s">
        <v>39</v>
      </c>
      <c r="D48">
        <f t="shared" si="0"/>
        <v>38.095748708120723</v>
      </c>
      <c r="E48">
        <v>10.31083631805963</v>
      </c>
      <c r="F48" t="s">
        <v>39</v>
      </c>
      <c r="G48">
        <f t="shared" si="4"/>
        <v>71.438031034053637</v>
      </c>
      <c r="H48">
        <v>44.439863449708923</v>
      </c>
      <c r="I48" t="s">
        <v>39</v>
      </c>
      <c r="J48">
        <f t="shared" si="5"/>
        <v>17140.771430122</v>
      </c>
      <c r="K48">
        <v>1723.8947494647398</v>
      </c>
      <c r="L48" t="s">
        <v>39</v>
      </c>
      <c r="M48">
        <f t="shared" si="6"/>
        <v>6.0556737131347464</v>
      </c>
      <c r="N48">
        <v>0.3651320856795256</v>
      </c>
    </row>
    <row r="49" spans="1:14" x14ac:dyDescent="0.3">
      <c r="A49" t="s">
        <v>43</v>
      </c>
      <c r="B49">
        <v>0</v>
      </c>
      <c r="C49" t="s">
        <v>186</v>
      </c>
      <c r="D49">
        <f t="shared" si="0"/>
        <v>22.435339050714084</v>
      </c>
      <c r="E49">
        <v>39.28050484954953</v>
      </c>
      <c r="F49" t="s">
        <v>186</v>
      </c>
      <c r="G49">
        <f t="shared" si="4"/>
        <v>48.817003910333163</v>
      </c>
      <c r="H49">
        <v>95.032494334669181</v>
      </c>
      <c r="I49" t="s">
        <v>186</v>
      </c>
      <c r="J49">
        <f t="shared" si="5"/>
        <v>2591.9659048118979</v>
      </c>
      <c r="K49">
        <v>4794.9011977284281</v>
      </c>
      <c r="L49" t="s">
        <v>186</v>
      </c>
      <c r="M49">
        <f t="shared" si="6"/>
        <v>3.0764143361841438</v>
      </c>
      <c r="N49">
        <v>6.3379627213115866</v>
      </c>
    </row>
    <row r="50" spans="1:14" x14ac:dyDescent="0.3">
      <c r="A50" t="s">
        <v>44</v>
      </c>
      <c r="B50">
        <v>3.3</v>
      </c>
      <c r="C50" t="s">
        <v>42</v>
      </c>
      <c r="D50">
        <f t="shared" si="0"/>
        <v>52.567373020483423</v>
      </c>
      <c r="E50">
        <v>38.095748708120723</v>
      </c>
      <c r="F50" t="s">
        <v>42</v>
      </c>
      <c r="G50">
        <f t="shared" si="4"/>
        <v>107.27780163160155</v>
      </c>
      <c r="H50">
        <v>71.438031034053637</v>
      </c>
      <c r="I50" t="s">
        <v>42</v>
      </c>
      <c r="J50">
        <f t="shared" si="5"/>
        <v>22183.498225849158</v>
      </c>
      <c r="K50">
        <v>17140.771430122</v>
      </c>
      <c r="L50" t="s">
        <v>42</v>
      </c>
      <c r="M50">
        <f t="shared" si="6"/>
        <v>3.9031332223558137</v>
      </c>
      <c r="N50">
        <v>6.0556737131347464</v>
      </c>
    </row>
    <row r="51" spans="1:14" x14ac:dyDescent="0.3">
      <c r="A51" t="s">
        <v>45</v>
      </c>
      <c r="B51">
        <v>2.2000000000000002</v>
      </c>
      <c r="C51" t="s">
        <v>187</v>
      </c>
      <c r="D51">
        <f t="shared" si="0"/>
        <v>45.626767484910431</v>
      </c>
      <c r="E51"/>
      <c r="F51" t="s">
        <v>187</v>
      </c>
      <c r="G51">
        <f t="shared" si="4"/>
        <v>120.53387842718718</v>
      </c>
      <c r="H51"/>
      <c r="I51" t="s">
        <v>187</v>
      </c>
      <c r="J51">
        <f t="shared" si="5"/>
        <v>0</v>
      </c>
      <c r="K51">
        <v>17609.682707121156</v>
      </c>
      <c r="L51" t="s">
        <v>187</v>
      </c>
      <c r="M51">
        <f t="shared" si="6"/>
        <v>0</v>
      </c>
      <c r="N51">
        <v>-0.90074891930698742</v>
      </c>
    </row>
    <row r="52" spans="1:14" x14ac:dyDescent="0.3">
      <c r="A52" t="s">
        <v>188</v>
      </c>
      <c r="B52">
        <v>0</v>
      </c>
      <c r="C52" t="s">
        <v>45</v>
      </c>
      <c r="D52">
        <f t="shared" si="0"/>
        <v>0</v>
      </c>
      <c r="E52">
        <v>45.626767484910431</v>
      </c>
      <c r="F52" t="s">
        <v>45</v>
      </c>
      <c r="G52">
        <f t="shared" si="4"/>
        <v>0</v>
      </c>
      <c r="H52">
        <v>120.53387842718718</v>
      </c>
      <c r="I52" t="s">
        <v>45</v>
      </c>
      <c r="J52">
        <f t="shared" si="5"/>
        <v>21217.810917331197</v>
      </c>
      <c r="K52"/>
      <c r="L52" t="s">
        <v>45</v>
      </c>
      <c r="M52">
        <f t="shared" si="6"/>
        <v>4.1629109213641566</v>
      </c>
      <c r="N52"/>
    </row>
    <row r="53" spans="1:14" x14ac:dyDescent="0.3">
      <c r="A53" t="s">
        <v>46</v>
      </c>
      <c r="B53">
        <v>3.2</v>
      </c>
      <c r="C53" t="s">
        <v>188</v>
      </c>
      <c r="D53">
        <f t="shared" si="0"/>
        <v>96.389970700531507</v>
      </c>
      <c r="E53"/>
      <c r="F53" t="s">
        <v>188</v>
      </c>
      <c r="G53">
        <f t="shared" si="4"/>
        <v>190.74095795651891</v>
      </c>
      <c r="H53"/>
      <c r="I53" t="s">
        <v>188</v>
      </c>
      <c r="J53">
        <f t="shared" si="5"/>
        <v>36623.70703125</v>
      </c>
      <c r="K53">
        <v>21217.810917331197</v>
      </c>
      <c r="L53" t="s">
        <v>188</v>
      </c>
      <c r="M53">
        <f t="shared" si="6"/>
        <v>-63.154639121542097</v>
      </c>
      <c r="N53">
        <v>4.1629109213641566</v>
      </c>
    </row>
    <row r="54" spans="1:14" x14ac:dyDescent="0.3">
      <c r="A54" t="s">
        <v>47</v>
      </c>
      <c r="B54">
        <v>3.3</v>
      </c>
      <c r="C54" t="s">
        <v>189</v>
      </c>
      <c r="D54">
        <f t="shared" si="0"/>
        <v>68.403106928445212</v>
      </c>
      <c r="E54"/>
      <c r="F54" t="s">
        <v>189</v>
      </c>
      <c r="G54">
        <f t="shared" si="4"/>
        <v>131.89259829587624</v>
      </c>
      <c r="H54"/>
      <c r="I54" t="s">
        <v>189</v>
      </c>
      <c r="J54">
        <f t="shared" si="5"/>
        <v>31761.594410249065</v>
      </c>
      <c r="K54">
        <v>100065.23384110707</v>
      </c>
      <c r="L54" t="s">
        <v>189</v>
      </c>
      <c r="M54">
        <f t="shared" si="6"/>
        <v>3.4462419046486974</v>
      </c>
      <c r="N54">
        <v>165.45813391078124</v>
      </c>
    </row>
    <row r="55" spans="1:14" x14ac:dyDescent="0.3">
      <c r="A55" t="s">
        <v>48</v>
      </c>
      <c r="B55">
        <v>4.0999999999999996</v>
      </c>
      <c r="C55" t="s">
        <v>46</v>
      </c>
      <c r="D55">
        <f t="shared" si="0"/>
        <v>69.314362059144258</v>
      </c>
      <c r="E55">
        <v>96.389970700531507</v>
      </c>
      <c r="F55" t="s">
        <v>46</v>
      </c>
      <c r="G55">
        <f t="shared" si="4"/>
        <v>129.62533743127759</v>
      </c>
      <c r="H55">
        <v>190.74095795651891</v>
      </c>
      <c r="I55" t="s">
        <v>46</v>
      </c>
      <c r="J55">
        <f t="shared" si="5"/>
        <v>68043.546697124315</v>
      </c>
      <c r="K55">
        <v>36623.70703125</v>
      </c>
      <c r="L55" t="s">
        <v>46</v>
      </c>
      <c r="M55">
        <f t="shared" si="6"/>
        <v>2.0346382929142042</v>
      </c>
      <c r="N55">
        <v>-63.154639121542097</v>
      </c>
    </row>
    <row r="56" spans="1:14" x14ac:dyDescent="0.3">
      <c r="A56" t="s">
        <v>49</v>
      </c>
      <c r="B56">
        <v>2.7</v>
      </c>
      <c r="C56" t="s">
        <v>47</v>
      </c>
      <c r="D56">
        <f t="shared" si="0"/>
        <v>150.74132259825913</v>
      </c>
      <c r="E56">
        <v>68.403106928445212</v>
      </c>
      <c r="F56" t="s">
        <v>47</v>
      </c>
      <c r="G56">
        <f t="shared" si="4"/>
        <v>285.90204380064421</v>
      </c>
      <c r="H56">
        <v>131.89259829587624</v>
      </c>
      <c r="I56" t="s">
        <v>47</v>
      </c>
      <c r="J56">
        <f t="shared" si="5"/>
        <v>3381.2977971072178</v>
      </c>
      <c r="K56">
        <v>31761.594410249065</v>
      </c>
      <c r="L56" t="s">
        <v>47</v>
      </c>
      <c r="M56">
        <f t="shared" si="6"/>
        <v>3.5144623164134865</v>
      </c>
      <c r="N56">
        <v>3.4462419046486974</v>
      </c>
    </row>
    <row r="57" spans="1:14" x14ac:dyDescent="0.3">
      <c r="A57" t="s">
        <v>190</v>
      </c>
      <c r="B57">
        <v>0</v>
      </c>
      <c r="C57" t="s">
        <v>64</v>
      </c>
      <c r="D57">
        <f t="shared" si="0"/>
        <v>0</v>
      </c>
      <c r="E57">
        <v>42.967262419684737</v>
      </c>
      <c r="F57" t="s">
        <v>64</v>
      </c>
      <c r="G57">
        <f t="shared" si="4"/>
        <v>0</v>
      </c>
      <c r="H57">
        <v>81.962548378763358</v>
      </c>
      <c r="I57" t="s">
        <v>64</v>
      </c>
      <c r="J57">
        <f t="shared" si="5"/>
        <v>9912.9621276666821</v>
      </c>
      <c r="K57">
        <v>54776.766823549093</v>
      </c>
      <c r="L57" t="s">
        <v>64</v>
      </c>
      <c r="M57">
        <f t="shared" si="6"/>
        <v>7.282683384452902</v>
      </c>
      <c r="N57">
        <v>1.9921081398127718</v>
      </c>
    </row>
    <row r="58" spans="1:14" x14ac:dyDescent="0.3">
      <c r="A58" t="s">
        <v>50</v>
      </c>
      <c r="B58">
        <v>2.6</v>
      </c>
      <c r="C58" t="s">
        <v>49</v>
      </c>
      <c r="D58">
        <f t="shared" si="0"/>
        <v>21.323316532040074</v>
      </c>
      <c r="E58">
        <v>150.74132259825913</v>
      </c>
      <c r="F58" t="s">
        <v>49</v>
      </c>
      <c r="G58">
        <f t="shared" si="4"/>
        <v>49.843613176441728</v>
      </c>
      <c r="H58">
        <v>285.90204380064421</v>
      </c>
      <c r="I58" t="s">
        <v>49</v>
      </c>
      <c r="J58">
        <f t="shared" si="5"/>
        <v>10630.431743829022</v>
      </c>
      <c r="K58">
        <v>3381.2977971072178</v>
      </c>
      <c r="L58" t="s">
        <v>49</v>
      </c>
      <c r="M58">
        <f t="shared" si="6"/>
        <v>3.9437558680019213</v>
      </c>
      <c r="N58">
        <v>3.5144623164134865</v>
      </c>
    </row>
    <row r="59" spans="1:14" x14ac:dyDescent="0.3">
      <c r="A59" t="s">
        <v>51</v>
      </c>
      <c r="B59">
        <v>0</v>
      </c>
      <c r="C59" t="s">
        <v>190</v>
      </c>
      <c r="D59">
        <f t="shared" si="0"/>
        <v>28.649536821320996</v>
      </c>
      <c r="E59"/>
      <c r="F59" t="s">
        <v>190</v>
      </c>
      <c r="G59">
        <f t="shared" si="4"/>
        <v>57.162693826430932</v>
      </c>
      <c r="H59"/>
      <c r="I59" t="s">
        <v>190</v>
      </c>
      <c r="J59">
        <f t="shared" si="5"/>
        <v>6718.1447938810961</v>
      </c>
      <c r="K59">
        <v>9912.9621276666821</v>
      </c>
      <c r="L59" t="s">
        <v>190</v>
      </c>
      <c r="M59">
        <f t="shared" si="6"/>
        <v>0.3980261460475521</v>
      </c>
      <c r="N59">
        <v>7.282683384452902</v>
      </c>
    </row>
    <row r="60" spans="1:14" x14ac:dyDescent="0.3">
      <c r="A60" t="s">
        <v>52</v>
      </c>
      <c r="B60">
        <v>3.1</v>
      </c>
      <c r="C60" t="s">
        <v>48</v>
      </c>
      <c r="D60">
        <f t="shared" si="0"/>
        <v>19.106091340567581</v>
      </c>
      <c r="E60">
        <v>69.314362059144258</v>
      </c>
      <c r="F60" t="s">
        <v>48</v>
      </c>
      <c r="G60">
        <f t="shared" si="4"/>
        <v>40.450400772003071</v>
      </c>
      <c r="H60">
        <v>129.62533743127759</v>
      </c>
      <c r="I60" t="s">
        <v>48</v>
      </c>
      <c r="J60">
        <f t="shared" si="5"/>
        <v>3456.7896521236303</v>
      </c>
      <c r="K60">
        <v>68043.546697124315</v>
      </c>
      <c r="L60" t="s">
        <v>48</v>
      </c>
      <c r="M60">
        <f t="shared" si="6"/>
        <v>2.4854640069598437</v>
      </c>
      <c r="N60">
        <v>2.0346382929142042</v>
      </c>
    </row>
    <row r="61" spans="1:14" x14ac:dyDescent="0.3">
      <c r="A61" t="s">
        <v>53</v>
      </c>
      <c r="B61">
        <v>2.7</v>
      </c>
      <c r="C61" t="s">
        <v>50</v>
      </c>
      <c r="D61">
        <f t="shared" si="0"/>
        <v>28.791855191487194</v>
      </c>
      <c r="E61">
        <v>21.323316532040074</v>
      </c>
      <c r="F61" t="s">
        <v>50</v>
      </c>
      <c r="G61">
        <f t="shared" si="4"/>
        <v>79.812265178786618</v>
      </c>
      <c r="H61">
        <v>49.843613176441728</v>
      </c>
      <c r="I61" t="s">
        <v>50</v>
      </c>
      <c r="J61">
        <f t="shared" si="5"/>
        <v>5319.7195268687956</v>
      </c>
      <c r="K61">
        <v>10630.431743829022</v>
      </c>
      <c r="L61" t="s">
        <v>50</v>
      </c>
      <c r="M61">
        <f t="shared" si="6"/>
        <v>2.3187085668200855</v>
      </c>
      <c r="N61">
        <v>3.9437558680019213</v>
      </c>
    </row>
    <row r="62" spans="1:14" x14ac:dyDescent="0.3">
      <c r="A62" t="s">
        <v>54</v>
      </c>
      <c r="B62">
        <v>0</v>
      </c>
      <c r="C62" t="s">
        <v>8</v>
      </c>
      <c r="D62">
        <f t="shared" si="0"/>
        <v>37.804582513790272</v>
      </c>
      <c r="E62">
        <v>23.790060473816276</v>
      </c>
      <c r="F62" t="s">
        <v>8</v>
      </c>
      <c r="G62">
        <f t="shared" si="4"/>
        <v>60.688662681303725</v>
      </c>
      <c r="H62">
        <v>43.739798450700661</v>
      </c>
      <c r="I62" t="s">
        <v>8</v>
      </c>
      <c r="J62">
        <f t="shared" si="5"/>
        <v>6788.3527163837589</v>
      </c>
      <c r="K62">
        <v>5370.4772350780049</v>
      </c>
      <c r="L62" t="s">
        <v>8</v>
      </c>
      <c r="M62">
        <f t="shared" si="6"/>
        <v>1.1304655523998861</v>
      </c>
      <c r="N62">
        <v>0.48981914341042349</v>
      </c>
    </row>
    <row r="63" spans="1:14" x14ac:dyDescent="0.3">
      <c r="A63" t="s">
        <v>55</v>
      </c>
      <c r="B63">
        <v>0</v>
      </c>
      <c r="C63" t="s">
        <v>191</v>
      </c>
      <c r="D63">
        <f t="shared" si="0"/>
        <v>0</v>
      </c>
      <c r="E63">
        <v>23.313663562891669</v>
      </c>
      <c r="F63" t="s">
        <v>191</v>
      </c>
      <c r="G63">
        <f t="shared" si="4"/>
        <v>0</v>
      </c>
      <c r="H63">
        <v>45.071910158330518</v>
      </c>
      <c r="I63" t="s">
        <v>191</v>
      </c>
      <c r="J63">
        <f t="shared" si="5"/>
        <v>0</v>
      </c>
      <c r="K63">
        <v>10126.430412140689</v>
      </c>
      <c r="L63" t="s">
        <v>191</v>
      </c>
      <c r="M63">
        <f t="shared" si="6"/>
        <v>0</v>
      </c>
      <c r="N63">
        <v>0.59406338700937289</v>
      </c>
    </row>
    <row r="64" spans="1:14" x14ac:dyDescent="0.3">
      <c r="A64" t="s">
        <v>56</v>
      </c>
      <c r="B64">
        <v>3.6</v>
      </c>
      <c r="C64" t="s">
        <v>192</v>
      </c>
      <c r="D64">
        <f t="shared" si="0"/>
        <v>77.774659701098329</v>
      </c>
      <c r="E64">
        <v>26.120249316531819</v>
      </c>
      <c r="F64" t="s">
        <v>192</v>
      </c>
      <c r="G64">
        <f t="shared" si="4"/>
        <v>154.59261711114905</v>
      </c>
      <c r="H64">
        <v>53.299061760725607</v>
      </c>
      <c r="I64" t="s">
        <v>192</v>
      </c>
      <c r="J64">
        <f t="shared" si="5"/>
        <v>30264.006488505736</v>
      </c>
      <c r="K64">
        <v>4212.1692480764495</v>
      </c>
      <c r="L64" t="s">
        <v>192</v>
      </c>
      <c r="M64">
        <f t="shared" si="6"/>
        <v>12.540812828972998</v>
      </c>
      <c r="N64">
        <v>1.5874330930867619</v>
      </c>
    </row>
    <row r="65" spans="1:14" x14ac:dyDescent="0.3">
      <c r="A65" t="s">
        <v>252</v>
      </c>
      <c r="B65">
        <v>0</v>
      </c>
      <c r="C65" t="s">
        <v>193</v>
      </c>
      <c r="D65">
        <f t="shared" si="0"/>
        <v>48.501022333794445</v>
      </c>
      <c r="E65">
        <v>29.674608048687666</v>
      </c>
      <c r="F65" t="s">
        <v>193</v>
      </c>
      <c r="G65">
        <f t="shared" si="4"/>
        <v>99.724611081561662</v>
      </c>
      <c r="H65">
        <v>57.146658366631264</v>
      </c>
      <c r="I65" t="s">
        <v>193</v>
      </c>
      <c r="J65">
        <f t="shared" si="5"/>
        <v>3755.5211123246368</v>
      </c>
      <c r="K65">
        <v>13251.511979780375</v>
      </c>
      <c r="L65" t="s">
        <v>193</v>
      </c>
      <c r="M65">
        <f t="shared" si="6"/>
        <v>0.60877271441603475</v>
      </c>
      <c r="N65">
        <v>1.4675438816030566</v>
      </c>
    </row>
    <row r="66" spans="1:14" x14ac:dyDescent="0.3">
      <c r="A66" t="s">
        <v>57</v>
      </c>
      <c r="B66">
        <v>0</v>
      </c>
      <c r="C66" t="s">
        <v>194</v>
      </c>
      <c r="D66">
        <f t="shared" ref="D66:D129" si="7">_xlfn.XLOOKUP(A66,C:C,E:E,"")</f>
        <v>6.5959182905202889</v>
      </c>
      <c r="E66">
        <v>35.079193202144879</v>
      </c>
      <c r="F66" t="s">
        <v>194</v>
      </c>
      <c r="G66">
        <f t="shared" si="4"/>
        <v>20.598201507140566</v>
      </c>
      <c r="H66">
        <v>72.299570725891243</v>
      </c>
      <c r="I66" t="s">
        <v>194</v>
      </c>
      <c r="J66">
        <f t="shared" si="5"/>
        <v>1055.8109159306082</v>
      </c>
      <c r="K66">
        <v>8609.1229629063746</v>
      </c>
      <c r="L66" t="s">
        <v>194</v>
      </c>
      <c r="M66">
        <f t="shared" si="6"/>
        <v>2.4014631535682844</v>
      </c>
      <c r="N66">
        <v>1.8610053660051129</v>
      </c>
    </row>
    <row r="67" spans="1:14" x14ac:dyDescent="0.3">
      <c r="A67" t="s">
        <v>198</v>
      </c>
      <c r="B67">
        <v>0</v>
      </c>
      <c r="C67" t="s">
        <v>195</v>
      </c>
      <c r="D67">
        <f t="shared" si="7"/>
        <v>57.194758346523358</v>
      </c>
      <c r="E67">
        <v>46.316591972218433</v>
      </c>
      <c r="F67" t="s">
        <v>195</v>
      </c>
      <c r="G67">
        <f t="shared" si="4"/>
        <v>113.33640078035852</v>
      </c>
      <c r="H67">
        <v>86.15294977566127</v>
      </c>
      <c r="I67" t="s">
        <v>195</v>
      </c>
      <c r="J67">
        <f t="shared" si="5"/>
        <v>72486.69109579573</v>
      </c>
      <c r="K67">
        <v>30015.764089539854</v>
      </c>
      <c r="L67" t="s">
        <v>195</v>
      </c>
      <c r="M67">
        <f t="shared" si="6"/>
        <v>0</v>
      </c>
      <c r="N67">
        <v>-1.1708298268411546</v>
      </c>
    </row>
    <row r="68" spans="1:14" x14ac:dyDescent="0.3">
      <c r="A68" t="s">
        <v>58</v>
      </c>
      <c r="B68">
        <v>2.2999999999999998</v>
      </c>
      <c r="C68" t="s">
        <v>51</v>
      </c>
      <c r="D68">
        <f t="shared" si="7"/>
        <v>57.506978706829393</v>
      </c>
      <c r="E68">
        <v>28.649536821320996</v>
      </c>
      <c r="F68" t="s">
        <v>51</v>
      </c>
      <c r="G68">
        <f t="shared" si="4"/>
        <v>126.28213451051676</v>
      </c>
      <c r="H68">
        <v>57.162693826430932</v>
      </c>
      <c r="I68" t="s">
        <v>51</v>
      </c>
      <c r="J68">
        <f t="shared" si="5"/>
        <v>5926.205863947629</v>
      </c>
      <c r="K68">
        <v>6718.1447938810961</v>
      </c>
      <c r="L68" t="s">
        <v>51</v>
      </c>
      <c r="M68">
        <f t="shared" si="6"/>
        <v>1.6537389445564776</v>
      </c>
      <c r="N68">
        <v>0.3980261460475521</v>
      </c>
    </row>
    <row r="69" spans="1:14" x14ac:dyDescent="0.3">
      <c r="A69" t="s">
        <v>59</v>
      </c>
      <c r="B69">
        <v>4.2</v>
      </c>
      <c r="C69" t="s">
        <v>52</v>
      </c>
      <c r="D69">
        <f t="shared" si="7"/>
        <v>42.768447464332155</v>
      </c>
      <c r="E69">
        <v>19.106091340567581</v>
      </c>
      <c r="F69" t="s">
        <v>52</v>
      </c>
      <c r="G69">
        <f t="shared" si="4"/>
        <v>85.514184721891539</v>
      </c>
      <c r="H69">
        <v>40.450400772003071</v>
      </c>
      <c r="I69" t="s">
        <v>52</v>
      </c>
      <c r="J69">
        <f t="shared" si="5"/>
        <v>52864.693158121634</v>
      </c>
      <c r="K69">
        <v>3456.7896521236303</v>
      </c>
      <c r="L69" t="s">
        <v>52</v>
      </c>
      <c r="M69">
        <f t="shared" si="6"/>
        <v>-3.8889570030182612E-2</v>
      </c>
      <c r="N69">
        <v>2.4854640069598437</v>
      </c>
    </row>
    <row r="70" spans="1:14" x14ac:dyDescent="0.3">
      <c r="A70" t="s">
        <v>60</v>
      </c>
      <c r="B70">
        <v>3.9</v>
      </c>
      <c r="C70" t="s">
        <v>196</v>
      </c>
      <c r="D70">
        <f t="shared" si="7"/>
        <v>34.456256877884158</v>
      </c>
      <c r="E70">
        <v>50.393545836371622</v>
      </c>
      <c r="F70" t="s">
        <v>196</v>
      </c>
      <c r="G70">
        <f t="shared" ref="G70:G133" si="8">_xlfn.XLOOKUP(A70,F:F,H:H,"")</f>
        <v>70.626145061022456</v>
      </c>
      <c r="H70">
        <v>92.156168578289581</v>
      </c>
      <c r="I70" t="s">
        <v>196</v>
      </c>
      <c r="J70">
        <f t="shared" ref="J70:J133" si="9">_xlfn.XLOOKUP(A70,I:I,K:K,"")</f>
        <v>44700.138417754366</v>
      </c>
      <c r="K70">
        <v>44797.644528141762</v>
      </c>
      <c r="L70" t="s">
        <v>196</v>
      </c>
      <c r="M70">
        <f t="shared" ref="M70:M133" si="10">_xlfn.XLOOKUP(A70,L:L,N:N,"")</f>
        <v>0.59064517056101418</v>
      </c>
      <c r="N70">
        <v>-1.6055972287589027</v>
      </c>
    </row>
    <row r="71" spans="1:14" x14ac:dyDescent="0.3">
      <c r="A71" t="s">
        <v>243</v>
      </c>
      <c r="B71">
        <v>0</v>
      </c>
      <c r="C71" t="s">
        <v>55</v>
      </c>
      <c r="D71">
        <f t="shared" si="7"/>
        <v>24.067921742340349</v>
      </c>
      <c r="E71"/>
      <c r="F71" t="s">
        <v>55</v>
      </c>
      <c r="G71">
        <f t="shared" si="8"/>
        <v>71.67220376522701</v>
      </c>
      <c r="H71"/>
      <c r="I71" t="s">
        <v>55</v>
      </c>
      <c r="J71">
        <f t="shared" si="9"/>
        <v>21832.283179556853</v>
      </c>
      <c r="K71"/>
      <c r="L71" t="s">
        <v>55</v>
      </c>
      <c r="M71">
        <f t="shared" si="10"/>
        <v>-0.10584301862624733</v>
      </c>
      <c r="N71"/>
    </row>
    <row r="72" spans="1:14" x14ac:dyDescent="0.3">
      <c r="A72" t="s">
        <v>61</v>
      </c>
      <c r="B72">
        <v>2.4</v>
      </c>
      <c r="C72" t="s">
        <v>147</v>
      </c>
      <c r="D72">
        <f t="shared" si="7"/>
        <v>63.728277779667351</v>
      </c>
      <c r="E72">
        <v>37.816647649391328</v>
      </c>
      <c r="F72" t="s">
        <v>147</v>
      </c>
      <c r="G72">
        <f t="shared" si="8"/>
        <v>91.478653317914365</v>
      </c>
      <c r="H72">
        <v>71.79763660557326</v>
      </c>
      <c r="I72" t="s">
        <v>147</v>
      </c>
      <c r="J72">
        <f t="shared" si="9"/>
        <v>7802.8243327613818</v>
      </c>
      <c r="K72">
        <v>33493.222540911127</v>
      </c>
      <c r="L72" t="s">
        <v>147</v>
      </c>
      <c r="M72">
        <f t="shared" si="10"/>
        <v>5.9351722557589879</v>
      </c>
      <c r="N72">
        <v>2.8998156531689334</v>
      </c>
    </row>
    <row r="73" spans="1:14" x14ac:dyDescent="0.3">
      <c r="A73" t="s">
        <v>62</v>
      </c>
      <c r="B73">
        <v>2.2999999999999998</v>
      </c>
      <c r="C73" t="s">
        <v>56</v>
      </c>
      <c r="D73">
        <f t="shared" si="7"/>
        <v>7.0532237290549835</v>
      </c>
      <c r="E73">
        <v>77.774659701098329</v>
      </c>
      <c r="F73" t="s">
        <v>56</v>
      </c>
      <c r="G73">
        <f t="shared" si="8"/>
        <v>39.962017346712194</v>
      </c>
      <c r="H73">
        <v>154.59261711114905</v>
      </c>
      <c r="I73" t="s">
        <v>56</v>
      </c>
      <c r="J73">
        <f t="shared" si="9"/>
        <v>883.02411197892695</v>
      </c>
      <c r="K73">
        <v>30264.006488505736</v>
      </c>
      <c r="L73" t="s">
        <v>56</v>
      </c>
      <c r="M73">
        <f t="shared" si="10"/>
        <v>8.6279954845068136</v>
      </c>
      <c r="N73">
        <v>12.540812828972998</v>
      </c>
    </row>
    <row r="74" spans="1:14" x14ac:dyDescent="0.3">
      <c r="A74" t="s">
        <v>63</v>
      </c>
      <c r="B74">
        <v>2.7</v>
      </c>
      <c r="C74" t="s">
        <v>57</v>
      </c>
      <c r="D74">
        <f t="shared" si="7"/>
        <v>49.267059831365771</v>
      </c>
      <c r="E74">
        <v>6.5959182905202889</v>
      </c>
      <c r="F74" t="s">
        <v>57</v>
      </c>
      <c r="G74">
        <f t="shared" si="8"/>
        <v>107.15117916157899</v>
      </c>
      <c r="H74">
        <v>20.598201507140566</v>
      </c>
      <c r="I74" t="s">
        <v>57</v>
      </c>
      <c r="J74">
        <f t="shared" si="9"/>
        <v>8283.6696065226115</v>
      </c>
      <c r="K74">
        <v>1055.8109159306082</v>
      </c>
      <c r="L74" t="s">
        <v>57</v>
      </c>
      <c r="M74">
        <f t="shared" si="10"/>
        <v>6.8620206683270162</v>
      </c>
      <c r="N74">
        <v>2.4014631535682844</v>
      </c>
    </row>
    <row r="75" spans="1:14" x14ac:dyDescent="0.3">
      <c r="A75" t="s">
        <v>64</v>
      </c>
      <c r="B75">
        <v>4.0999999999999996</v>
      </c>
      <c r="C75" t="s">
        <v>197</v>
      </c>
      <c r="D75">
        <f t="shared" si="7"/>
        <v>42.967262419684737</v>
      </c>
      <c r="E75">
        <v>51.758020511851946</v>
      </c>
      <c r="F75" t="s">
        <v>197</v>
      </c>
      <c r="G75">
        <f t="shared" si="8"/>
        <v>81.962548378763358</v>
      </c>
      <c r="H75">
        <v>95.21843223738712</v>
      </c>
      <c r="I75" t="s">
        <v>197</v>
      </c>
      <c r="J75">
        <f t="shared" si="9"/>
        <v>54776.766823549093</v>
      </c>
      <c r="K75">
        <v>41566.899241080217</v>
      </c>
      <c r="L75" t="s">
        <v>197</v>
      </c>
      <c r="M75">
        <f t="shared" si="10"/>
        <v>1.9921081398127718</v>
      </c>
      <c r="N75">
        <v>-1.3073385503034414</v>
      </c>
    </row>
    <row r="76" spans="1:14" x14ac:dyDescent="0.3">
      <c r="A76" t="s">
        <v>65</v>
      </c>
      <c r="B76">
        <v>2.5</v>
      </c>
      <c r="C76" t="s">
        <v>59</v>
      </c>
      <c r="D76">
        <f t="shared" si="7"/>
        <v>31.770816494399583</v>
      </c>
      <c r="E76">
        <v>42.768447464332155</v>
      </c>
      <c r="F76" t="s">
        <v>59</v>
      </c>
      <c r="G76">
        <f t="shared" si="8"/>
        <v>64.387861530108566</v>
      </c>
      <c r="H76">
        <v>85.514184721891539</v>
      </c>
      <c r="I76" t="s">
        <v>59</v>
      </c>
      <c r="J76">
        <f t="shared" si="9"/>
        <v>2383.9041047622118</v>
      </c>
      <c r="K76">
        <v>52864.693158121634</v>
      </c>
      <c r="L76" t="s">
        <v>59</v>
      </c>
      <c r="M76">
        <f t="shared" si="10"/>
        <v>1.6379420821841331</v>
      </c>
      <c r="N76">
        <v>-3.8889570030182612E-2</v>
      </c>
    </row>
    <row r="77" spans="1:14" x14ac:dyDescent="0.3">
      <c r="A77" t="s">
        <v>200</v>
      </c>
      <c r="B77">
        <v>0</v>
      </c>
      <c r="C77" t="s">
        <v>58</v>
      </c>
      <c r="D77">
        <f t="shared" si="7"/>
        <v>0</v>
      </c>
      <c r="E77">
        <v>57.506978706829393</v>
      </c>
      <c r="F77" t="s">
        <v>58</v>
      </c>
      <c r="G77">
        <f t="shared" si="8"/>
        <v>0</v>
      </c>
      <c r="H77">
        <v>126.28213451051676</v>
      </c>
      <c r="I77" t="s">
        <v>58</v>
      </c>
      <c r="J77">
        <f t="shared" si="9"/>
        <v>0</v>
      </c>
      <c r="K77">
        <v>5926.205863947629</v>
      </c>
      <c r="L77" t="s">
        <v>58</v>
      </c>
      <c r="M77">
        <f t="shared" si="10"/>
        <v>0</v>
      </c>
      <c r="N77">
        <v>1.6537389445564776</v>
      </c>
    </row>
    <row r="78" spans="1:14" x14ac:dyDescent="0.3">
      <c r="A78" t="s">
        <v>66</v>
      </c>
      <c r="B78">
        <v>3.7</v>
      </c>
      <c r="C78" t="s">
        <v>60</v>
      </c>
      <c r="D78">
        <f t="shared" si="7"/>
        <v>43.838838465612348</v>
      </c>
      <c r="E78">
        <v>34.456256877884158</v>
      </c>
      <c r="F78" t="s">
        <v>60</v>
      </c>
      <c r="G78">
        <f t="shared" si="8"/>
        <v>92.471088294701801</v>
      </c>
      <c r="H78">
        <v>70.626145061022456</v>
      </c>
      <c r="I78" t="s">
        <v>60</v>
      </c>
      <c r="J78">
        <f t="shared" si="9"/>
        <v>23343.710396456216</v>
      </c>
      <c r="K78">
        <v>44700.138417754366</v>
      </c>
      <c r="L78" t="s">
        <v>60</v>
      </c>
      <c r="M78">
        <f t="shared" si="10"/>
        <v>1.9436677761651118</v>
      </c>
      <c r="N78">
        <v>0.59064517056101418</v>
      </c>
    </row>
    <row r="79" spans="1:14" x14ac:dyDescent="0.3">
      <c r="A79" t="s">
        <v>201</v>
      </c>
      <c r="B79">
        <v>0</v>
      </c>
      <c r="C79" t="s">
        <v>198</v>
      </c>
      <c r="D79">
        <f t="shared" si="7"/>
        <v>40.798642168690471</v>
      </c>
      <c r="E79">
        <v>57.194758346523358</v>
      </c>
      <c r="F79" t="s">
        <v>198</v>
      </c>
      <c r="G79">
        <f t="shared" si="8"/>
        <v>91.89009943758208</v>
      </c>
      <c r="H79">
        <v>113.33640078035852</v>
      </c>
      <c r="I79" t="s">
        <v>198</v>
      </c>
      <c r="J79">
        <f t="shared" si="9"/>
        <v>58498.970797360933</v>
      </c>
      <c r="K79">
        <v>72486.69109579573</v>
      </c>
      <c r="L79" t="s">
        <v>198</v>
      </c>
      <c r="M79">
        <f t="shared" si="10"/>
        <v>0</v>
      </c>
      <c r="N79"/>
    </row>
    <row r="80" spans="1:14" x14ac:dyDescent="0.3">
      <c r="A80" t="s">
        <v>67</v>
      </c>
      <c r="B80">
        <v>2.5</v>
      </c>
      <c r="C80" t="s">
        <v>199</v>
      </c>
      <c r="D80">
        <f t="shared" si="7"/>
        <v>0</v>
      </c>
      <c r="E80">
        <v>22.123114681711588</v>
      </c>
      <c r="F80" t="s">
        <v>199</v>
      </c>
      <c r="G80">
        <f t="shared" si="8"/>
        <v>0</v>
      </c>
      <c r="H80">
        <v>95.264840772268272</v>
      </c>
      <c r="I80" t="s">
        <v>199</v>
      </c>
      <c r="J80">
        <f t="shared" si="9"/>
        <v>11414.478169118118</v>
      </c>
      <c r="K80">
        <v>3933.016070318743</v>
      </c>
      <c r="L80" t="s">
        <v>199</v>
      </c>
      <c r="M80">
        <f t="shared" si="10"/>
        <v>16.480731751253341</v>
      </c>
      <c r="N80"/>
    </row>
    <row r="81" spans="1:14" x14ac:dyDescent="0.3">
      <c r="A81" t="s">
        <v>202</v>
      </c>
      <c r="B81">
        <v>0</v>
      </c>
      <c r="C81" t="s">
        <v>61</v>
      </c>
      <c r="D81">
        <f t="shared" si="7"/>
        <v>0</v>
      </c>
      <c r="E81">
        <v>63.728277779667351</v>
      </c>
      <c r="F81" t="s">
        <v>61</v>
      </c>
      <c r="G81">
        <f t="shared" si="8"/>
        <v>0</v>
      </c>
      <c r="H81">
        <v>91.478653317914365</v>
      </c>
      <c r="I81" t="s">
        <v>61</v>
      </c>
      <c r="J81">
        <f t="shared" si="9"/>
        <v>0</v>
      </c>
      <c r="K81">
        <v>7802.8243327613818</v>
      </c>
      <c r="L81" t="s">
        <v>61</v>
      </c>
      <c r="M81">
        <f t="shared" si="10"/>
        <v>0</v>
      </c>
      <c r="N81">
        <v>5.9351722557589879</v>
      </c>
    </row>
    <row r="82" spans="1:14" x14ac:dyDescent="0.3">
      <c r="A82" t="s">
        <v>68</v>
      </c>
      <c r="B82">
        <v>2.6</v>
      </c>
      <c r="C82" t="s">
        <v>165</v>
      </c>
      <c r="D82">
        <f t="shared" si="7"/>
        <v>16.617490871402371</v>
      </c>
      <c r="E82">
        <v>31.912269762993773</v>
      </c>
      <c r="F82" t="s">
        <v>165</v>
      </c>
      <c r="G82">
        <f t="shared" si="8"/>
        <v>48.329797847259144</v>
      </c>
      <c r="H82">
        <v>64.992384174780284</v>
      </c>
      <c r="I82" t="s">
        <v>165</v>
      </c>
      <c r="J82">
        <f t="shared" si="9"/>
        <v>5754.4283390984674</v>
      </c>
      <c r="K82">
        <v>49919.689662158606</v>
      </c>
      <c r="L82" t="s">
        <v>165</v>
      </c>
      <c r="M82">
        <f t="shared" si="10"/>
        <v>1.5823017522398941</v>
      </c>
      <c r="N82">
        <v>0.40311673483679261</v>
      </c>
    </row>
    <row r="83" spans="1:14" x14ac:dyDescent="0.3">
      <c r="A83" t="s">
        <v>69</v>
      </c>
      <c r="B83">
        <v>2.5</v>
      </c>
      <c r="C83" t="s">
        <v>63</v>
      </c>
      <c r="D83">
        <f t="shared" si="7"/>
        <v>44.132063049298871</v>
      </c>
      <c r="E83">
        <v>49.267059831365771</v>
      </c>
      <c r="F83" t="s">
        <v>63</v>
      </c>
      <c r="G83">
        <f t="shared" si="8"/>
        <v>95.829526758226962</v>
      </c>
      <c r="H83">
        <v>107.15117916157899</v>
      </c>
      <c r="I83" t="s">
        <v>63</v>
      </c>
      <c r="J83">
        <f t="shared" si="9"/>
        <v>1555.4937580686064</v>
      </c>
      <c r="K83">
        <v>8283.6696065226115</v>
      </c>
      <c r="L83" t="s">
        <v>63</v>
      </c>
      <c r="M83">
        <f t="shared" si="10"/>
        <v>5.868228133022205</v>
      </c>
      <c r="N83">
        <v>6.8620206683270162</v>
      </c>
    </row>
    <row r="84" spans="1:14" x14ac:dyDescent="0.3">
      <c r="A84" t="s">
        <v>70</v>
      </c>
      <c r="B84">
        <v>2.6</v>
      </c>
      <c r="C84" t="s">
        <v>65</v>
      </c>
      <c r="D84">
        <f t="shared" si="7"/>
        <v>13.74130980325069</v>
      </c>
      <c r="E84">
        <v>31.770816494399583</v>
      </c>
      <c r="F84" t="s">
        <v>65</v>
      </c>
      <c r="G84">
        <f t="shared" si="8"/>
        <v>42.435151524207591</v>
      </c>
      <c r="H84">
        <v>64.387861530108566</v>
      </c>
      <c r="I84" t="s">
        <v>65</v>
      </c>
      <c r="J84">
        <f t="shared" si="9"/>
        <v>964.4318326653954</v>
      </c>
      <c r="K84">
        <v>2383.9041047622118</v>
      </c>
      <c r="L84" t="s">
        <v>65</v>
      </c>
      <c r="M84">
        <f t="shared" si="10"/>
        <v>1.2102235136135719</v>
      </c>
      <c r="N84">
        <v>1.6379420821841331</v>
      </c>
    </row>
    <row r="85" spans="1:14" x14ac:dyDescent="0.3">
      <c r="A85" t="s">
        <v>71</v>
      </c>
      <c r="B85">
        <v>2.4</v>
      </c>
      <c r="C85" t="s">
        <v>200</v>
      </c>
      <c r="D85">
        <f t="shared" si="7"/>
        <v>0</v>
      </c>
      <c r="E85"/>
      <c r="F85" t="s">
        <v>200</v>
      </c>
      <c r="G85">
        <f t="shared" si="8"/>
        <v>0</v>
      </c>
      <c r="H85"/>
      <c r="I85" t="s">
        <v>200</v>
      </c>
      <c r="J85">
        <f t="shared" si="9"/>
        <v>20473.700219061713</v>
      </c>
      <c r="K85"/>
      <c r="L85" t="s">
        <v>200</v>
      </c>
      <c r="M85">
        <f t="shared" si="10"/>
        <v>-6.7088446623538287</v>
      </c>
      <c r="N85"/>
    </row>
    <row r="86" spans="1:14" x14ac:dyDescent="0.3">
      <c r="A86" t="s">
        <v>72</v>
      </c>
      <c r="B86">
        <v>2.1</v>
      </c>
      <c r="C86" t="s">
        <v>69</v>
      </c>
      <c r="D86">
        <f t="shared" si="7"/>
        <v>3.1996021881103682</v>
      </c>
      <c r="E86">
        <v>44.132063049298871</v>
      </c>
      <c r="F86" t="s">
        <v>69</v>
      </c>
      <c r="G86">
        <f t="shared" si="8"/>
        <v>25.247898494179065</v>
      </c>
      <c r="H86">
        <v>95.829526758226962</v>
      </c>
      <c r="I86" t="s">
        <v>69</v>
      </c>
      <c r="J86">
        <f t="shared" si="9"/>
        <v>1681.8440766705855</v>
      </c>
      <c r="K86">
        <v>1555.4937580686064</v>
      </c>
      <c r="L86" t="s">
        <v>69</v>
      </c>
      <c r="M86">
        <f t="shared" si="10"/>
        <v>0.12082347715120004</v>
      </c>
      <c r="N86">
        <v>5.868228133022205</v>
      </c>
    </row>
    <row r="87" spans="1:14" x14ac:dyDescent="0.3">
      <c r="A87" t="s">
        <v>73</v>
      </c>
      <c r="B87">
        <v>2.9</v>
      </c>
      <c r="C87" t="s">
        <v>62</v>
      </c>
      <c r="D87">
        <f t="shared" si="7"/>
        <v>37.368680471371945</v>
      </c>
      <c r="E87">
        <v>7.0532237290549835</v>
      </c>
      <c r="F87" t="s">
        <v>62</v>
      </c>
      <c r="G87">
        <f t="shared" si="8"/>
        <v>98.791979833636489</v>
      </c>
      <c r="H87">
        <v>39.962017346712194</v>
      </c>
      <c r="I87" t="s">
        <v>62</v>
      </c>
      <c r="J87">
        <f t="shared" si="9"/>
        <v>3227.4576250977575</v>
      </c>
      <c r="K87">
        <v>883.02411197892695</v>
      </c>
      <c r="L87" t="s">
        <v>62</v>
      </c>
      <c r="M87">
        <f t="shared" si="10"/>
        <v>1.6838124054246697</v>
      </c>
      <c r="N87">
        <v>8.6279954845068136</v>
      </c>
    </row>
    <row r="88" spans="1:14" x14ac:dyDescent="0.3">
      <c r="A88" t="s">
        <v>74</v>
      </c>
      <c r="B88">
        <v>4</v>
      </c>
      <c r="C88" t="s">
        <v>70</v>
      </c>
      <c r="D88">
        <f t="shared" si="7"/>
        <v>176.85419678586882</v>
      </c>
      <c r="E88">
        <v>13.74130980325069</v>
      </c>
      <c r="F88" t="s">
        <v>70</v>
      </c>
      <c r="G88">
        <f t="shared" si="8"/>
        <v>353.1946089004129</v>
      </c>
      <c r="H88">
        <v>42.435151524207591</v>
      </c>
      <c r="I88" t="s">
        <v>70</v>
      </c>
      <c r="J88">
        <f t="shared" si="9"/>
        <v>50525.111931266321</v>
      </c>
      <c r="K88">
        <v>964.4318326653954</v>
      </c>
      <c r="L88" t="s">
        <v>70</v>
      </c>
      <c r="M88">
        <f t="shared" si="10"/>
        <v>32.037204318495462</v>
      </c>
      <c r="N88">
        <v>1.2102235136135719</v>
      </c>
    </row>
    <row r="89" spans="1:14" x14ac:dyDescent="0.3">
      <c r="A89" t="s">
        <v>75</v>
      </c>
      <c r="B89">
        <v>3.2</v>
      </c>
      <c r="C89" t="s">
        <v>54</v>
      </c>
      <c r="D89">
        <f t="shared" si="7"/>
        <v>81.38748935015559</v>
      </c>
      <c r="E89">
        <v>37.804582513790272</v>
      </c>
      <c r="F89" t="s">
        <v>54</v>
      </c>
      <c r="G89">
        <f t="shared" si="8"/>
        <v>158.61882560791275</v>
      </c>
      <c r="H89">
        <v>60.688662681303725</v>
      </c>
      <c r="I89" t="s">
        <v>54</v>
      </c>
      <c r="J89">
        <f t="shared" si="9"/>
        <v>22208.650982046634</v>
      </c>
      <c r="K89">
        <v>6788.3527163837589</v>
      </c>
      <c r="L89" t="s">
        <v>54</v>
      </c>
      <c r="M89">
        <f t="shared" si="10"/>
        <v>-33.279947178163241</v>
      </c>
      <c r="N89">
        <v>1.1304655523998861</v>
      </c>
    </row>
    <row r="90" spans="1:14" x14ac:dyDescent="0.3">
      <c r="A90" t="s">
        <v>76</v>
      </c>
      <c r="B90">
        <v>3.6</v>
      </c>
      <c r="C90" t="s">
        <v>66</v>
      </c>
      <c r="D90">
        <f t="shared" si="7"/>
        <v>43.974592595001248</v>
      </c>
      <c r="E90">
        <v>43.838838465612348</v>
      </c>
      <c r="F90" t="s">
        <v>66</v>
      </c>
      <c r="G90">
        <f t="shared" si="8"/>
        <v>87.238881092227587</v>
      </c>
      <c r="H90">
        <v>92.471088294701801</v>
      </c>
      <c r="I90" t="s">
        <v>66</v>
      </c>
      <c r="J90">
        <f t="shared" si="9"/>
        <v>82201.29085180776</v>
      </c>
      <c r="K90">
        <v>23343.710396456216</v>
      </c>
      <c r="L90" t="s">
        <v>66</v>
      </c>
      <c r="M90">
        <f t="shared" si="10"/>
        <v>5.962342500511566</v>
      </c>
      <c r="N90">
        <v>1.9436677761651118</v>
      </c>
    </row>
    <row r="91" spans="1:14" x14ac:dyDescent="0.3">
      <c r="A91" t="s">
        <v>77</v>
      </c>
      <c r="B91">
        <v>3.4</v>
      </c>
      <c r="C91" t="s">
        <v>67</v>
      </c>
      <c r="D91">
        <f t="shared" si="7"/>
        <v>22.354801966733017</v>
      </c>
      <c r="E91"/>
      <c r="F91" t="s">
        <v>67</v>
      </c>
      <c r="G91">
        <f t="shared" si="8"/>
        <v>46.322952058233838</v>
      </c>
      <c r="H91"/>
      <c r="I91" t="s">
        <v>67</v>
      </c>
      <c r="J91">
        <f t="shared" si="9"/>
        <v>2434.4482634098913</v>
      </c>
      <c r="K91">
        <v>11414.478169118118</v>
      </c>
      <c r="L91" t="s">
        <v>67</v>
      </c>
      <c r="M91">
        <f t="shared" si="10"/>
        <v>0.8022549958367563</v>
      </c>
      <c r="N91">
        <v>16.480731751253341</v>
      </c>
    </row>
    <row r="92" spans="1:14" x14ac:dyDescent="0.3">
      <c r="A92" t="s">
        <v>78</v>
      </c>
      <c r="B92">
        <v>3</v>
      </c>
      <c r="C92" t="s">
        <v>201</v>
      </c>
      <c r="D92">
        <f t="shared" si="7"/>
        <v>21.808563219756198</v>
      </c>
      <c r="E92">
        <v>40.798642168690471</v>
      </c>
      <c r="F92" t="s">
        <v>201</v>
      </c>
      <c r="G92">
        <f t="shared" si="8"/>
        <v>41.460476544723299</v>
      </c>
      <c r="H92">
        <v>91.89009943758208</v>
      </c>
      <c r="I92" t="s">
        <v>201</v>
      </c>
      <c r="J92">
        <f t="shared" si="9"/>
        <v>4876.2992959842977</v>
      </c>
      <c r="K92">
        <v>58498.970797360933</v>
      </c>
      <c r="L92" t="s">
        <v>201</v>
      </c>
      <c r="M92">
        <f t="shared" si="10"/>
        <v>1.5711696640874673</v>
      </c>
      <c r="N92"/>
    </row>
    <row r="93" spans="1:14" x14ac:dyDescent="0.3">
      <c r="A93" t="s">
        <v>79</v>
      </c>
      <c r="B93">
        <v>2.2999999999999998</v>
      </c>
      <c r="C93" t="s">
        <v>68</v>
      </c>
      <c r="D93">
        <f t="shared" si="7"/>
        <v>23.921647554235744</v>
      </c>
      <c r="E93">
        <v>16.617490871402371</v>
      </c>
      <c r="F93" t="s">
        <v>68</v>
      </c>
      <c r="G93">
        <f t="shared" si="8"/>
        <v>49.393550096020277</v>
      </c>
      <c r="H93">
        <v>48.329797847259144</v>
      </c>
      <c r="I93" t="s">
        <v>68</v>
      </c>
      <c r="J93">
        <f t="shared" si="9"/>
        <v>5049.2993164275395</v>
      </c>
      <c r="K93">
        <v>5754.4283390984674</v>
      </c>
      <c r="L93" t="s">
        <v>68</v>
      </c>
      <c r="M93">
        <f t="shared" si="10"/>
        <v>0.31088540808841864</v>
      </c>
      <c r="N93">
        <v>1.5823017522398941</v>
      </c>
    </row>
    <row r="94" spans="1:14" x14ac:dyDescent="0.3">
      <c r="A94" t="s">
        <v>80</v>
      </c>
      <c r="B94">
        <v>2.4</v>
      </c>
      <c r="C94" t="s">
        <v>202</v>
      </c>
      <c r="D94">
        <f t="shared" si="7"/>
        <v>39.631232240004252</v>
      </c>
      <c r="E94"/>
      <c r="F94" t="s">
        <v>202</v>
      </c>
      <c r="G94">
        <f t="shared" si="8"/>
        <v>69.461320799016676</v>
      </c>
      <c r="H94"/>
      <c r="I94" t="s">
        <v>202</v>
      </c>
      <c r="J94">
        <f t="shared" si="9"/>
        <v>5965.318350777613</v>
      </c>
      <c r="K94"/>
      <c r="L94" t="s">
        <v>202</v>
      </c>
      <c r="M94">
        <f t="shared" si="10"/>
        <v>-1.994748223132619</v>
      </c>
      <c r="N94"/>
    </row>
    <row r="95" spans="1:14" x14ac:dyDescent="0.3">
      <c r="A95" t="s">
        <v>81</v>
      </c>
      <c r="B95">
        <v>3.6</v>
      </c>
      <c r="C95" t="s">
        <v>71</v>
      </c>
      <c r="D95">
        <f t="shared" si="7"/>
        <v>136.52636667410977</v>
      </c>
      <c r="E95"/>
      <c r="F95" t="s">
        <v>71</v>
      </c>
      <c r="G95">
        <f t="shared" si="8"/>
        <v>239.64962758511086</v>
      </c>
      <c r="H95"/>
      <c r="I95" t="s">
        <v>71</v>
      </c>
      <c r="J95">
        <f t="shared" si="9"/>
        <v>106818.91713080389</v>
      </c>
      <c r="K95">
        <v>20473.700219061713</v>
      </c>
      <c r="L95" t="s">
        <v>71</v>
      </c>
      <c r="M95">
        <f t="shared" si="10"/>
        <v>-24.670258953064206</v>
      </c>
      <c r="N95">
        <v>-6.7088446623538287</v>
      </c>
    </row>
    <row r="96" spans="1:14" x14ac:dyDescent="0.3">
      <c r="A96" t="s">
        <v>210</v>
      </c>
      <c r="B96">
        <v>0</v>
      </c>
      <c r="C96" t="s">
        <v>203</v>
      </c>
      <c r="D96">
        <f t="shared" si="7"/>
        <v>0</v>
      </c>
      <c r="E96">
        <v>31.831107533218688</v>
      </c>
      <c r="F96" t="s">
        <v>203</v>
      </c>
      <c r="G96">
        <f t="shared" si="8"/>
        <v>0</v>
      </c>
      <c r="H96">
        <v>62.670369591901512</v>
      </c>
      <c r="I96" t="s">
        <v>203</v>
      </c>
      <c r="J96">
        <f t="shared" si="9"/>
        <v>90015.207423439802</v>
      </c>
      <c r="K96">
        <v>49141.540074030177</v>
      </c>
      <c r="L96" t="s">
        <v>203</v>
      </c>
      <c r="M96">
        <f t="shared" si="10"/>
        <v>0</v>
      </c>
      <c r="N96">
        <v>0.76038885319409033</v>
      </c>
    </row>
    <row r="97" spans="1:14" x14ac:dyDescent="0.3">
      <c r="A97" t="s">
        <v>82</v>
      </c>
      <c r="B97">
        <v>3.6</v>
      </c>
      <c r="C97" t="s">
        <v>74</v>
      </c>
      <c r="D97">
        <f t="shared" si="7"/>
        <v>30.328474401396598</v>
      </c>
      <c r="E97">
        <v>176.85419678586882</v>
      </c>
      <c r="F97" t="s">
        <v>74</v>
      </c>
      <c r="G97">
        <f t="shared" si="8"/>
        <v>57.977782328645041</v>
      </c>
      <c r="H97">
        <v>353.1946089004129</v>
      </c>
      <c r="I97" t="s">
        <v>74</v>
      </c>
      <c r="J97">
        <f t="shared" si="9"/>
        <v>52126.448928003258</v>
      </c>
      <c r="K97">
        <v>50525.111931266321</v>
      </c>
      <c r="L97" t="s">
        <v>74</v>
      </c>
      <c r="M97">
        <f t="shared" si="10"/>
        <v>3.1496899145939632</v>
      </c>
      <c r="N97">
        <v>32.037204318495462</v>
      </c>
    </row>
    <row r="98" spans="1:14" x14ac:dyDescent="0.3">
      <c r="A98" t="s">
        <v>83</v>
      </c>
      <c r="B98">
        <v>3.7</v>
      </c>
      <c r="C98" t="s">
        <v>73</v>
      </c>
      <c r="D98">
        <f t="shared" si="7"/>
        <v>33.329369569230934</v>
      </c>
      <c r="E98">
        <v>37.368680471371945</v>
      </c>
      <c r="F98" t="s">
        <v>73</v>
      </c>
      <c r="G98">
        <f t="shared" si="8"/>
        <v>65.102841944190828</v>
      </c>
      <c r="H98">
        <v>98.791979833636489</v>
      </c>
      <c r="I98" t="s">
        <v>73</v>
      </c>
      <c r="J98">
        <f t="shared" si="9"/>
        <v>39279.699782164018</v>
      </c>
      <c r="K98">
        <v>3227.4576250977575</v>
      </c>
      <c r="L98" t="s">
        <v>73</v>
      </c>
      <c r="M98">
        <f t="shared" si="10"/>
        <v>1.8136334823902545</v>
      </c>
      <c r="N98">
        <v>1.6838124054246697</v>
      </c>
    </row>
    <row r="99" spans="1:14" x14ac:dyDescent="0.3">
      <c r="A99" t="s">
        <v>84</v>
      </c>
      <c r="B99">
        <v>2.5</v>
      </c>
      <c r="C99" t="s">
        <v>204</v>
      </c>
      <c r="D99">
        <f t="shared" si="7"/>
        <v>0</v>
      </c>
      <c r="E99">
        <v>22.5471919096994</v>
      </c>
      <c r="F99" t="s">
        <v>204</v>
      </c>
      <c r="G99">
        <f t="shared" si="8"/>
        <v>0</v>
      </c>
      <c r="H99">
        <v>52.02299545872534</v>
      </c>
      <c r="I99" t="s">
        <v>204</v>
      </c>
      <c r="J99">
        <f t="shared" si="9"/>
        <v>7542.3985584905431</v>
      </c>
      <c r="K99">
        <v>1157.8520050034924</v>
      </c>
      <c r="L99" t="s">
        <v>204</v>
      </c>
      <c r="M99">
        <f t="shared" si="10"/>
        <v>2.2989723006089537</v>
      </c>
      <c r="N99">
        <v>3.1781501902421674</v>
      </c>
    </row>
    <row r="100" spans="1:14" x14ac:dyDescent="0.3">
      <c r="A100" t="s">
        <v>85</v>
      </c>
      <c r="B100">
        <v>3.9</v>
      </c>
      <c r="C100" t="s">
        <v>44</v>
      </c>
      <c r="D100">
        <f t="shared" si="7"/>
        <v>21.059310134359684</v>
      </c>
      <c r="E100">
        <v>52.567373020483423</v>
      </c>
      <c r="F100" t="s">
        <v>44</v>
      </c>
      <c r="G100">
        <f t="shared" si="8"/>
        <v>43.595083380273458</v>
      </c>
      <c r="H100">
        <v>107.27780163160155</v>
      </c>
      <c r="I100" t="s">
        <v>44</v>
      </c>
      <c r="J100">
        <f t="shared" si="9"/>
        <v>35215.003535365977</v>
      </c>
      <c r="K100">
        <v>22183.498225849158</v>
      </c>
      <c r="L100" t="s">
        <v>44</v>
      </c>
      <c r="M100">
        <f t="shared" si="10"/>
        <v>0.45629769864798553</v>
      </c>
      <c r="N100">
        <v>3.9031332223558137</v>
      </c>
    </row>
    <row r="101" spans="1:14" x14ac:dyDescent="0.3">
      <c r="A101" t="s">
        <v>86</v>
      </c>
      <c r="B101">
        <v>0</v>
      </c>
      <c r="C101" t="s">
        <v>72</v>
      </c>
      <c r="D101">
        <f t="shared" si="7"/>
        <v>0</v>
      </c>
      <c r="E101">
        <v>3.1996021881103682</v>
      </c>
      <c r="F101" t="s">
        <v>72</v>
      </c>
      <c r="G101">
        <f t="shared" si="8"/>
        <v>0</v>
      </c>
      <c r="H101">
        <v>25.247898494179065</v>
      </c>
      <c r="I101" t="s">
        <v>72</v>
      </c>
      <c r="J101">
        <f t="shared" si="9"/>
        <v>4906.235430066391</v>
      </c>
      <c r="K101">
        <v>1681.8440766705855</v>
      </c>
      <c r="L101" t="s">
        <v>72</v>
      </c>
      <c r="M101">
        <f t="shared" si="10"/>
        <v>3.574864406359239</v>
      </c>
      <c r="N101">
        <v>0.12082347715120004</v>
      </c>
    </row>
    <row r="102" spans="1:14" x14ac:dyDescent="0.3">
      <c r="A102" t="s">
        <v>87</v>
      </c>
      <c r="B102">
        <v>2.7</v>
      </c>
      <c r="C102" t="s">
        <v>75</v>
      </c>
      <c r="D102">
        <f t="shared" si="7"/>
        <v>34.650577449537963</v>
      </c>
      <c r="E102">
        <v>81.38748935015559</v>
      </c>
      <c r="F102" t="s">
        <v>75</v>
      </c>
      <c r="G102">
        <f t="shared" si="8"/>
        <v>62.33428376750215</v>
      </c>
      <c r="H102">
        <v>158.61882560791275</v>
      </c>
      <c r="I102" t="s">
        <v>75</v>
      </c>
      <c r="J102">
        <f t="shared" si="9"/>
        <v>12879.427525797384</v>
      </c>
      <c r="K102">
        <v>22208.650982046634</v>
      </c>
      <c r="L102" t="s">
        <v>75</v>
      </c>
      <c r="M102">
        <f t="shared" si="10"/>
        <v>2.1858951694270181</v>
      </c>
      <c r="N102">
        <v>-33.279947178163241</v>
      </c>
    </row>
    <row r="103" spans="1:14" x14ac:dyDescent="0.3">
      <c r="A103" t="s">
        <v>88</v>
      </c>
      <c r="B103">
        <v>0</v>
      </c>
      <c r="C103" t="s">
        <v>205</v>
      </c>
      <c r="D103">
        <f t="shared" si="7"/>
        <v>16.713344299872087</v>
      </c>
      <c r="E103">
        <v>25.487706894081953</v>
      </c>
      <c r="F103" t="s">
        <v>205</v>
      </c>
      <c r="G103">
        <f t="shared" si="8"/>
        <v>40.933767737755602</v>
      </c>
      <c r="H103">
        <v>49.758029307939374</v>
      </c>
      <c r="I103" t="s">
        <v>205</v>
      </c>
      <c r="J103">
        <f t="shared" si="9"/>
        <v>1942.5880275619108</v>
      </c>
      <c r="K103">
        <v>7892.1335923641918</v>
      </c>
      <c r="L103" t="s">
        <v>205</v>
      </c>
      <c r="M103">
        <f t="shared" si="10"/>
        <v>0.47252123822625369</v>
      </c>
      <c r="N103">
        <v>1.0686241715390543</v>
      </c>
    </row>
    <row r="104" spans="1:14" x14ac:dyDescent="0.3">
      <c r="A104" t="s">
        <v>212</v>
      </c>
      <c r="B104">
        <v>0</v>
      </c>
      <c r="C104" t="s">
        <v>206</v>
      </c>
      <c r="D104">
        <f t="shared" si="7"/>
        <v>5.8583169366744192</v>
      </c>
      <c r="E104">
        <v>25.131636334229373</v>
      </c>
      <c r="F104" t="s">
        <v>206</v>
      </c>
      <c r="G104">
        <f t="shared" si="8"/>
        <v>106.47977248006804</v>
      </c>
      <c r="H104">
        <v>49.684853703801224</v>
      </c>
      <c r="I104" t="s">
        <v>206</v>
      </c>
      <c r="J104">
        <f t="shared" si="9"/>
        <v>2200.6891861428862</v>
      </c>
      <c r="K104">
        <v>6126.3880906824143</v>
      </c>
      <c r="L104" t="s">
        <v>206</v>
      </c>
      <c r="M104">
        <f t="shared" si="10"/>
        <v>1.7522695420002425</v>
      </c>
      <c r="N104">
        <v>1.1224744212983435</v>
      </c>
    </row>
    <row r="105" spans="1:14" x14ac:dyDescent="0.3">
      <c r="A105" t="s">
        <v>239</v>
      </c>
      <c r="B105">
        <v>0</v>
      </c>
      <c r="C105" t="s">
        <v>207</v>
      </c>
      <c r="D105">
        <f t="shared" si="7"/>
        <v>0</v>
      </c>
      <c r="E105">
        <v>21.389481020744956</v>
      </c>
      <c r="F105" t="s">
        <v>207</v>
      </c>
      <c r="G105">
        <f t="shared" si="8"/>
        <v>0</v>
      </c>
      <c r="H105">
        <v>48.33446017869165</v>
      </c>
      <c r="I105" t="s">
        <v>207</v>
      </c>
      <c r="J105">
        <f t="shared" si="9"/>
        <v>0</v>
      </c>
      <c r="K105">
        <v>1536.7335889784122</v>
      </c>
      <c r="L105" t="s">
        <v>207</v>
      </c>
      <c r="M105">
        <f t="shared" si="10"/>
        <v>0</v>
      </c>
      <c r="N105">
        <v>1.8567121310115144</v>
      </c>
    </row>
    <row r="106" spans="1:14" x14ac:dyDescent="0.3">
      <c r="A106" t="s">
        <v>89</v>
      </c>
      <c r="B106">
        <v>3.8</v>
      </c>
      <c r="C106" t="s">
        <v>208</v>
      </c>
      <c r="D106">
        <f t="shared" si="7"/>
        <v>41.321480736769743</v>
      </c>
      <c r="E106"/>
      <c r="F106" t="s">
        <v>208</v>
      </c>
      <c r="G106">
        <f t="shared" si="8"/>
        <v>82.258009071662855</v>
      </c>
      <c r="H106"/>
      <c r="I106" t="s">
        <v>208</v>
      </c>
      <c r="J106">
        <f t="shared" si="9"/>
        <v>35674.095995632029</v>
      </c>
      <c r="K106">
        <v>1922.6819567723799</v>
      </c>
      <c r="L106" t="s">
        <v>208</v>
      </c>
      <c r="M106">
        <f t="shared" si="10"/>
        <v>1.0322143514243483</v>
      </c>
      <c r="N106">
        <v>0.98725555840546686</v>
      </c>
    </row>
    <row r="107" spans="1:14" x14ac:dyDescent="0.3">
      <c r="A107" t="s">
        <v>271</v>
      </c>
      <c r="B107">
        <v>0</v>
      </c>
      <c r="C107" t="s">
        <v>78</v>
      </c>
      <c r="D107">
        <f t="shared" si="7"/>
        <v>39.640475666080036</v>
      </c>
      <c r="E107">
        <v>21.808563219756198</v>
      </c>
      <c r="F107" t="s">
        <v>78</v>
      </c>
      <c r="G107">
        <f t="shared" si="8"/>
        <v>109.95185157790215</v>
      </c>
      <c r="H107">
        <v>41.460476544723299</v>
      </c>
      <c r="I107" t="s">
        <v>78</v>
      </c>
      <c r="J107">
        <f t="shared" si="9"/>
        <v>6220.3321391934369</v>
      </c>
      <c r="K107">
        <v>4876.2992959842977</v>
      </c>
      <c r="L107" t="s">
        <v>78</v>
      </c>
      <c r="M107">
        <f t="shared" si="10"/>
        <v>8.6813783954773491</v>
      </c>
      <c r="N107">
        <v>1.5711696640874673</v>
      </c>
    </row>
    <row r="108" spans="1:14" x14ac:dyDescent="0.3">
      <c r="A108" t="s">
        <v>90</v>
      </c>
      <c r="B108">
        <v>3.2</v>
      </c>
      <c r="C108" t="s">
        <v>209</v>
      </c>
      <c r="D108">
        <f t="shared" si="7"/>
        <v>57.702062317436045</v>
      </c>
      <c r="E108">
        <v>22.270954901844771</v>
      </c>
      <c r="F108" t="s">
        <v>209</v>
      </c>
      <c r="G108">
        <f t="shared" si="8"/>
        <v>96.034350969316222</v>
      </c>
      <c r="H108">
        <v>51.770857039517999</v>
      </c>
      <c r="I108" t="s">
        <v>209</v>
      </c>
      <c r="J108">
        <f t="shared" si="9"/>
        <v>34091.971481300228</v>
      </c>
      <c r="K108">
        <v>1330.0800569782787</v>
      </c>
      <c r="L108" t="s">
        <v>209</v>
      </c>
      <c r="M108">
        <f t="shared" si="10"/>
        <v>1.2779943179060023</v>
      </c>
      <c r="N108">
        <v>2.5556692095190727</v>
      </c>
    </row>
    <row r="109" spans="1:14" x14ac:dyDescent="0.3">
      <c r="A109" t="s">
        <v>91</v>
      </c>
      <c r="B109">
        <v>2.2999999999999998</v>
      </c>
      <c r="C109" t="s">
        <v>210</v>
      </c>
      <c r="D109">
        <f t="shared" si="7"/>
        <v>36.888223253582062</v>
      </c>
      <c r="E109"/>
      <c r="F109" t="s">
        <v>210</v>
      </c>
      <c r="G109">
        <f t="shared" si="8"/>
        <v>132.37340391233607</v>
      </c>
      <c r="H109"/>
      <c r="I109" t="s">
        <v>210</v>
      </c>
      <c r="J109">
        <f t="shared" si="9"/>
        <v>2138.2221021147798</v>
      </c>
      <c r="K109">
        <v>90015.207423439802</v>
      </c>
      <c r="L109" t="s">
        <v>210</v>
      </c>
      <c r="M109">
        <f t="shared" si="10"/>
        <v>1.0486710560934072</v>
      </c>
      <c r="N109"/>
    </row>
    <row r="110" spans="1:14" x14ac:dyDescent="0.3">
      <c r="A110" t="s">
        <v>92</v>
      </c>
      <c r="B110">
        <v>2.4</v>
      </c>
      <c r="C110" t="s">
        <v>77</v>
      </c>
      <c r="D110">
        <f t="shared" si="7"/>
        <v>0</v>
      </c>
      <c r="E110">
        <v>22.354801966733017</v>
      </c>
      <c r="F110" t="s">
        <v>77</v>
      </c>
      <c r="G110">
        <f t="shared" si="8"/>
        <v>0</v>
      </c>
      <c r="H110">
        <v>46.322952058233838</v>
      </c>
      <c r="I110" t="s">
        <v>77</v>
      </c>
      <c r="J110">
        <f t="shared" si="9"/>
        <v>2066.9497977695714</v>
      </c>
      <c r="K110">
        <v>2434.4482634098913</v>
      </c>
      <c r="L110" t="s">
        <v>77</v>
      </c>
      <c r="M110">
        <f t="shared" si="10"/>
        <v>11.242563095940771</v>
      </c>
      <c r="N110">
        <v>0.8022549958367563</v>
      </c>
    </row>
    <row r="111" spans="1:14" x14ac:dyDescent="0.3">
      <c r="A111" t="s">
        <v>93</v>
      </c>
      <c r="B111">
        <v>3.5</v>
      </c>
      <c r="C111" t="s">
        <v>211</v>
      </c>
      <c r="D111">
        <f t="shared" si="7"/>
        <v>65.989655148271467</v>
      </c>
      <c r="E111"/>
      <c r="F111" t="s">
        <v>211</v>
      </c>
      <c r="G111">
        <f t="shared" si="8"/>
        <v>135.64298915426642</v>
      </c>
      <c r="H111"/>
      <c r="I111" t="s">
        <v>211</v>
      </c>
      <c r="J111">
        <f t="shared" si="9"/>
        <v>22710.263754419742</v>
      </c>
      <c r="K111"/>
      <c r="L111" t="s">
        <v>211</v>
      </c>
      <c r="M111">
        <f t="shared" si="10"/>
        <v>3.9483077936187079</v>
      </c>
      <c r="N111"/>
    </row>
    <row r="112" spans="1:14" x14ac:dyDescent="0.3">
      <c r="A112" t="s">
        <v>94</v>
      </c>
      <c r="B112">
        <v>0</v>
      </c>
      <c r="C112" t="s">
        <v>81</v>
      </c>
      <c r="D112">
        <f t="shared" si="7"/>
        <v>30.55141196747352</v>
      </c>
      <c r="E112">
        <v>136.52636667410977</v>
      </c>
      <c r="F112" t="s">
        <v>81</v>
      </c>
      <c r="G112">
        <f t="shared" si="8"/>
        <v>104.20641006918237</v>
      </c>
      <c r="H112">
        <v>239.64962758511086</v>
      </c>
      <c r="I112" t="s">
        <v>81</v>
      </c>
      <c r="J112">
        <f t="shared" si="9"/>
        <v>3477.7248984268376</v>
      </c>
      <c r="K112">
        <v>106818.91713080389</v>
      </c>
      <c r="L112" t="s">
        <v>81</v>
      </c>
      <c r="M112">
        <f t="shared" si="10"/>
        <v>3.2643546738912712</v>
      </c>
      <c r="N112">
        <v>-24.670258953064206</v>
      </c>
    </row>
    <row r="113" spans="1:14" x14ac:dyDescent="0.3">
      <c r="A113" t="s">
        <v>95</v>
      </c>
      <c r="B113">
        <v>0</v>
      </c>
      <c r="C113" t="s">
        <v>79</v>
      </c>
      <c r="D113">
        <f t="shared" si="7"/>
        <v>42.682978708148561</v>
      </c>
      <c r="E113">
        <v>23.921647554235744</v>
      </c>
      <c r="F113" t="s">
        <v>79</v>
      </c>
      <c r="G113">
        <f t="shared" si="8"/>
        <v>140.7224878775281</v>
      </c>
      <c r="H113">
        <v>49.393550096020277</v>
      </c>
      <c r="I113" t="s">
        <v>79</v>
      </c>
      <c r="J113">
        <f t="shared" si="9"/>
        <v>921.43514155705554</v>
      </c>
      <c r="K113">
        <v>5049.2993164275395</v>
      </c>
      <c r="L113" t="s">
        <v>79</v>
      </c>
      <c r="M113">
        <f t="shared" si="10"/>
        <v>-1.2041955010053249</v>
      </c>
      <c r="N113">
        <v>0.31088540808841864</v>
      </c>
    </row>
    <row r="114" spans="1:14" x14ac:dyDescent="0.3">
      <c r="A114" t="s">
        <v>96</v>
      </c>
      <c r="B114">
        <v>2.4</v>
      </c>
      <c r="C114" t="s">
        <v>80</v>
      </c>
      <c r="D114">
        <f t="shared" si="7"/>
        <v>0</v>
      </c>
      <c r="E114">
        <v>39.631232240004252</v>
      </c>
      <c r="F114" t="s">
        <v>80</v>
      </c>
      <c r="G114">
        <f t="shared" si="8"/>
        <v>0</v>
      </c>
      <c r="H114">
        <v>69.461320799016676</v>
      </c>
      <c r="I114" t="s">
        <v>80</v>
      </c>
      <c r="J114">
        <f t="shared" si="9"/>
        <v>799.19447022964187</v>
      </c>
      <c r="K114">
        <v>5965.318350777613</v>
      </c>
      <c r="L114" t="s">
        <v>80</v>
      </c>
      <c r="M114">
        <f t="shared" si="10"/>
        <v>7.1134704296583138</v>
      </c>
      <c r="N114">
        <v>-1.994748223132619</v>
      </c>
    </row>
    <row r="115" spans="1:14" x14ac:dyDescent="0.3">
      <c r="A115" t="s">
        <v>97</v>
      </c>
      <c r="B115">
        <v>1.9</v>
      </c>
      <c r="C115" t="s">
        <v>76</v>
      </c>
      <c r="D115">
        <f t="shared" si="7"/>
        <v>85.601003209060877</v>
      </c>
      <c r="E115">
        <v>43.974592595001248</v>
      </c>
      <c r="F115" t="s">
        <v>76</v>
      </c>
      <c r="G115">
        <f t="shared" si="8"/>
        <v>161.07023260972159</v>
      </c>
      <c r="H115">
        <v>87.238881092227587</v>
      </c>
      <c r="I115" t="s">
        <v>76</v>
      </c>
      <c r="J115">
        <f t="shared" si="9"/>
        <v>6026.5151870881191</v>
      </c>
      <c r="K115">
        <v>82201.29085180776</v>
      </c>
      <c r="L115" t="s">
        <v>76</v>
      </c>
      <c r="M115">
        <f t="shared" si="10"/>
        <v>1.8050014724398304</v>
      </c>
      <c r="N115">
        <v>5.962342500511566</v>
      </c>
    </row>
    <row r="116" spans="1:14" x14ac:dyDescent="0.3">
      <c r="A116" t="s">
        <v>219</v>
      </c>
      <c r="B116">
        <v>0</v>
      </c>
      <c r="C116" t="s">
        <v>82</v>
      </c>
      <c r="D116">
        <f t="shared" si="7"/>
        <v>0</v>
      </c>
      <c r="E116">
        <v>30.328474401396598</v>
      </c>
      <c r="F116" t="s">
        <v>82</v>
      </c>
      <c r="G116">
        <f t="shared" si="8"/>
        <v>0</v>
      </c>
      <c r="H116">
        <v>57.977782328645041</v>
      </c>
      <c r="I116" t="s">
        <v>82</v>
      </c>
      <c r="J116">
        <f t="shared" si="9"/>
        <v>206780.59035338453</v>
      </c>
      <c r="K116">
        <v>52126.448928003258</v>
      </c>
      <c r="L116" t="s">
        <v>82</v>
      </c>
      <c r="M116">
        <f t="shared" si="10"/>
        <v>0</v>
      </c>
      <c r="N116">
        <v>3.1496899145939632</v>
      </c>
    </row>
    <row r="117" spans="1:14" x14ac:dyDescent="0.3">
      <c r="A117" t="s">
        <v>98</v>
      </c>
      <c r="B117">
        <v>3.4</v>
      </c>
      <c r="C117" t="s">
        <v>83</v>
      </c>
      <c r="D117">
        <f t="shared" si="7"/>
        <v>75.933513171116019</v>
      </c>
      <c r="E117">
        <v>33.329369569230934</v>
      </c>
      <c r="F117" t="s">
        <v>83</v>
      </c>
      <c r="G117">
        <f t="shared" si="8"/>
        <v>147.99075177642794</v>
      </c>
      <c r="H117">
        <v>65.102841944190828</v>
      </c>
      <c r="I117" t="s">
        <v>83</v>
      </c>
      <c r="J117">
        <f t="shared" si="9"/>
        <v>27983.365825688685</v>
      </c>
      <c r="K117">
        <v>39279.699782164018</v>
      </c>
      <c r="L117" t="s">
        <v>83</v>
      </c>
      <c r="M117">
        <f t="shared" si="10"/>
        <v>4.767640514513773</v>
      </c>
      <c r="N117">
        <v>1.8136334823902545</v>
      </c>
    </row>
    <row r="118" spans="1:14" x14ac:dyDescent="0.3">
      <c r="A118" t="s">
        <v>99</v>
      </c>
      <c r="B118">
        <v>3.6</v>
      </c>
      <c r="C118" t="s">
        <v>84</v>
      </c>
      <c r="D118">
        <f t="shared" si="7"/>
        <v>217.37982258397838</v>
      </c>
      <c r="E118"/>
      <c r="F118" t="s">
        <v>84</v>
      </c>
      <c r="G118">
        <f t="shared" si="8"/>
        <v>402.56696819734452</v>
      </c>
      <c r="H118"/>
      <c r="I118" t="s">
        <v>84</v>
      </c>
      <c r="J118">
        <f t="shared" si="9"/>
        <v>133230.6191788991</v>
      </c>
      <c r="K118">
        <v>7542.3985584905431</v>
      </c>
      <c r="L118" t="s">
        <v>84</v>
      </c>
      <c r="M118">
        <f t="shared" si="10"/>
        <v>-10.451131683512546</v>
      </c>
      <c r="N118">
        <v>2.2989723006089537</v>
      </c>
    </row>
    <row r="119" spans="1:14" x14ac:dyDescent="0.3">
      <c r="A119" t="s">
        <v>223</v>
      </c>
      <c r="B119">
        <v>0</v>
      </c>
      <c r="C119" t="s">
        <v>86</v>
      </c>
      <c r="D119">
        <f t="shared" si="7"/>
        <v>92.417043576585201</v>
      </c>
      <c r="E119"/>
      <c r="F119" t="s">
        <v>86</v>
      </c>
      <c r="G119">
        <f t="shared" si="8"/>
        <v>145.8744672523267</v>
      </c>
      <c r="H119"/>
      <c r="I119" t="s">
        <v>86</v>
      </c>
      <c r="J119">
        <f t="shared" si="9"/>
        <v>67216.363111212369</v>
      </c>
      <c r="K119">
        <v>4906.235430066391</v>
      </c>
      <c r="L119" t="s">
        <v>86</v>
      </c>
      <c r="M119">
        <f t="shared" si="10"/>
        <v>2.508085989993952</v>
      </c>
      <c r="N119">
        <v>3.574864406359239</v>
      </c>
    </row>
    <row r="120" spans="1:14" x14ac:dyDescent="0.3">
      <c r="A120" t="s">
        <v>100</v>
      </c>
      <c r="B120">
        <v>2.2999999999999998</v>
      </c>
      <c r="C120" t="s">
        <v>85</v>
      </c>
      <c r="D120">
        <f t="shared" si="7"/>
        <v>26.722886123742672</v>
      </c>
      <c r="E120">
        <v>21.059310134359684</v>
      </c>
      <c r="F120" t="s">
        <v>85</v>
      </c>
      <c r="G120">
        <f t="shared" si="8"/>
        <v>62.762214759431231</v>
      </c>
      <c r="H120">
        <v>43.595083380273458</v>
      </c>
      <c r="I120" t="s">
        <v>85</v>
      </c>
      <c r="J120">
        <f t="shared" si="9"/>
        <v>514.06407655192743</v>
      </c>
      <c r="K120">
        <v>35215.003535365977</v>
      </c>
      <c r="L120" t="s">
        <v>85</v>
      </c>
      <c r="M120">
        <f t="shared" si="10"/>
        <v>3.2395378979090665</v>
      </c>
      <c r="N120">
        <v>0.45629769864798553</v>
      </c>
    </row>
    <row r="121" spans="1:14" x14ac:dyDescent="0.3">
      <c r="A121" t="s">
        <v>101</v>
      </c>
      <c r="B121">
        <v>0</v>
      </c>
      <c r="C121" t="s">
        <v>87</v>
      </c>
      <c r="D121">
        <f t="shared" si="7"/>
        <v>11.245036389452762</v>
      </c>
      <c r="E121">
        <v>34.650577449537963</v>
      </c>
      <c r="F121" t="s">
        <v>87</v>
      </c>
      <c r="G121">
        <f t="shared" si="8"/>
        <v>42.437668399096651</v>
      </c>
      <c r="H121">
        <v>62.33428376750215</v>
      </c>
      <c r="I121" t="s">
        <v>87</v>
      </c>
      <c r="J121">
        <f t="shared" si="9"/>
        <v>633.21476797869502</v>
      </c>
      <c r="K121">
        <v>12879.427525797384</v>
      </c>
      <c r="L121" t="s">
        <v>87</v>
      </c>
      <c r="M121">
        <f t="shared" si="10"/>
        <v>1.6010611247640638</v>
      </c>
      <c r="N121">
        <v>2.1858951694270181</v>
      </c>
    </row>
    <row r="122" spans="1:14" x14ac:dyDescent="0.3">
      <c r="A122" t="s">
        <v>102</v>
      </c>
      <c r="B122">
        <v>3.6</v>
      </c>
      <c r="C122" t="s">
        <v>88</v>
      </c>
      <c r="D122">
        <f t="shared" si="7"/>
        <v>68.678953565316817</v>
      </c>
      <c r="E122">
        <v>16.713344299872087</v>
      </c>
      <c r="F122" t="s">
        <v>88</v>
      </c>
      <c r="G122">
        <f t="shared" si="8"/>
        <v>132.59346164159942</v>
      </c>
      <c r="H122">
        <v>40.933767737755602</v>
      </c>
      <c r="I122" t="s">
        <v>88</v>
      </c>
      <c r="J122">
        <f t="shared" si="9"/>
        <v>11386.039563652774</v>
      </c>
      <c r="K122">
        <v>1942.5880275619108</v>
      </c>
      <c r="L122" t="s">
        <v>88</v>
      </c>
      <c r="M122">
        <f t="shared" si="10"/>
        <v>1.9799006271674295</v>
      </c>
      <c r="N122">
        <v>0.47252123822625369</v>
      </c>
    </row>
    <row r="123" spans="1:14" x14ac:dyDescent="0.3">
      <c r="A123" t="s">
        <v>103</v>
      </c>
      <c r="B123">
        <v>0</v>
      </c>
      <c r="C123" t="s">
        <v>91</v>
      </c>
      <c r="D123">
        <f t="shared" si="7"/>
        <v>74.043769266111553</v>
      </c>
      <c r="E123">
        <v>36.888223253582062</v>
      </c>
      <c r="F123" t="s">
        <v>91</v>
      </c>
      <c r="G123">
        <f t="shared" si="8"/>
        <v>149.34997617743443</v>
      </c>
      <c r="H123">
        <v>132.37340391233607</v>
      </c>
      <c r="I123" t="s">
        <v>91</v>
      </c>
      <c r="J123">
        <f t="shared" si="9"/>
        <v>12587.612603865125</v>
      </c>
      <c r="K123">
        <v>2138.2221021147798</v>
      </c>
      <c r="L123" t="s">
        <v>91</v>
      </c>
      <c r="M123">
        <f t="shared" si="10"/>
        <v>11.581845875684458</v>
      </c>
      <c r="N123">
        <v>1.0486710560934072</v>
      </c>
    </row>
    <row r="124" spans="1:14" x14ac:dyDescent="0.3">
      <c r="A124" t="s">
        <v>104</v>
      </c>
      <c r="B124">
        <v>2.6</v>
      </c>
      <c r="C124" t="s">
        <v>31</v>
      </c>
      <c r="D124">
        <f t="shared" si="7"/>
        <v>24.786377502985786</v>
      </c>
      <c r="E124">
        <v>66.892666055217063</v>
      </c>
      <c r="F124" t="s">
        <v>31</v>
      </c>
      <c r="G124">
        <f t="shared" si="8"/>
        <v>57.629157226929614</v>
      </c>
      <c r="H124">
        <v>134.20684239593064</v>
      </c>
      <c r="I124" t="s">
        <v>31</v>
      </c>
      <c r="J124">
        <f t="shared" si="9"/>
        <v>1042.4422344483685</v>
      </c>
      <c r="K124">
        <v>2429.7485345283822</v>
      </c>
      <c r="L124" t="s">
        <v>31</v>
      </c>
      <c r="M124">
        <f t="shared" si="10"/>
        <v>2.8354240804510673</v>
      </c>
      <c r="N124">
        <v>9.3509670198975776</v>
      </c>
    </row>
    <row r="125" spans="1:14" x14ac:dyDescent="0.3">
      <c r="A125" t="s">
        <v>105</v>
      </c>
      <c r="B125">
        <v>3.3</v>
      </c>
      <c r="C125" t="s">
        <v>212</v>
      </c>
      <c r="D125">
        <f t="shared" si="7"/>
        <v>119.74833690166693</v>
      </c>
      <c r="E125">
        <v>5.8583169366744192</v>
      </c>
      <c r="F125" t="s">
        <v>212</v>
      </c>
      <c r="G125">
        <f t="shared" si="8"/>
        <v>221.13329637559258</v>
      </c>
      <c r="H125">
        <v>106.47977248006804</v>
      </c>
      <c r="I125" t="s">
        <v>212</v>
      </c>
      <c r="J125">
        <f t="shared" si="9"/>
        <v>40932.523877446052</v>
      </c>
      <c r="K125">
        <v>2200.6891861428862</v>
      </c>
      <c r="L125" t="s">
        <v>212</v>
      </c>
      <c r="M125">
        <f t="shared" si="10"/>
        <v>108.73527077072072</v>
      </c>
      <c r="N125">
        <v>1.7522695420002425</v>
      </c>
    </row>
    <row r="126" spans="1:14" x14ac:dyDescent="0.3">
      <c r="A126" t="s">
        <v>227</v>
      </c>
      <c r="B126">
        <v>0</v>
      </c>
      <c r="C126" t="s">
        <v>213</v>
      </c>
      <c r="D126">
        <f t="shared" si="7"/>
        <v>38.257575757575758</v>
      </c>
      <c r="E126"/>
      <c r="F126" t="s">
        <v>213</v>
      </c>
      <c r="G126">
        <f t="shared" si="8"/>
        <v>118.18181818181819</v>
      </c>
      <c r="H126"/>
      <c r="I126" t="s">
        <v>213</v>
      </c>
      <c r="J126">
        <f t="shared" si="9"/>
        <v>6799.3921755479432</v>
      </c>
      <c r="K126">
        <v>22576.924843916589</v>
      </c>
      <c r="L126" t="s">
        <v>213</v>
      </c>
      <c r="M126">
        <f t="shared" si="10"/>
        <v>3.4656270186657121</v>
      </c>
      <c r="N126">
        <v>2.8260399051314531</v>
      </c>
    </row>
    <row r="127" spans="1:14" x14ac:dyDescent="0.3">
      <c r="A127" t="s">
        <v>106</v>
      </c>
      <c r="B127">
        <v>2.2999999999999998</v>
      </c>
      <c r="C127" t="s">
        <v>89</v>
      </c>
      <c r="D127">
        <f t="shared" si="7"/>
        <v>38.40709081497976</v>
      </c>
      <c r="E127">
        <v>41.321480736769743</v>
      </c>
      <c r="F127" t="s">
        <v>89</v>
      </c>
      <c r="G127">
        <f t="shared" si="8"/>
        <v>92.165444514674249</v>
      </c>
      <c r="H127">
        <v>82.258009071662855</v>
      </c>
      <c r="I127" t="s">
        <v>89</v>
      </c>
      <c r="J127">
        <f t="shared" si="9"/>
        <v>2127.957628597303</v>
      </c>
      <c r="K127">
        <v>35674.095995632029</v>
      </c>
      <c r="L127" t="s">
        <v>89</v>
      </c>
      <c r="M127">
        <f t="shared" si="10"/>
        <v>7.9377630355791009</v>
      </c>
      <c r="N127">
        <v>1.0322143514243483</v>
      </c>
    </row>
    <row r="128" spans="1:14" x14ac:dyDescent="0.3">
      <c r="A128" t="s">
        <v>107</v>
      </c>
      <c r="B128">
        <v>2.5</v>
      </c>
      <c r="C128" t="s">
        <v>90</v>
      </c>
      <c r="D128">
        <f t="shared" si="7"/>
        <v>69.041145350936404</v>
      </c>
      <c r="E128">
        <v>57.702062317436045</v>
      </c>
      <c r="F128" t="s">
        <v>90</v>
      </c>
      <c r="G128">
        <f t="shared" si="8"/>
        <v>147.32139212885198</v>
      </c>
      <c r="H128">
        <v>96.034350969316222</v>
      </c>
      <c r="I128" t="s">
        <v>90</v>
      </c>
      <c r="J128">
        <f t="shared" si="9"/>
        <v>11269.968446213859</v>
      </c>
      <c r="K128">
        <v>34091.971481300228</v>
      </c>
      <c r="L128" t="s">
        <v>90</v>
      </c>
      <c r="M128">
        <f t="shared" si="10"/>
        <v>5.399631303992952</v>
      </c>
      <c r="N128">
        <v>1.2779943179060023</v>
      </c>
    </row>
    <row r="129" spans="1:14" x14ac:dyDescent="0.3">
      <c r="A129" t="s">
        <v>108</v>
      </c>
      <c r="B129">
        <v>2.9</v>
      </c>
      <c r="C129" t="s">
        <v>214</v>
      </c>
      <c r="D129">
        <f t="shared" si="7"/>
        <v>36.147934367506863</v>
      </c>
      <c r="E129">
        <v>23.581847356600598</v>
      </c>
      <c r="F129" t="s">
        <v>214</v>
      </c>
      <c r="G129">
        <f t="shared" si="8"/>
        <v>73.739075825566431</v>
      </c>
      <c r="H129">
        <v>46.688521423655445</v>
      </c>
      <c r="I129" t="s">
        <v>214</v>
      </c>
      <c r="J129">
        <f t="shared" si="9"/>
        <v>13830.843848864017</v>
      </c>
      <c r="K129">
        <v>9891.4632795533034</v>
      </c>
      <c r="L129" t="s">
        <v>214</v>
      </c>
      <c r="M129">
        <f t="shared" si="10"/>
        <v>1.7099038174861021</v>
      </c>
      <c r="N129">
        <v>2.5481433471887374</v>
      </c>
    </row>
    <row r="130" spans="1:14" x14ac:dyDescent="0.3">
      <c r="A130" t="s">
        <v>199</v>
      </c>
      <c r="B130">
        <v>0</v>
      </c>
      <c r="C130" t="s">
        <v>92</v>
      </c>
      <c r="D130">
        <f t="shared" ref="D130:D193" si="11">_xlfn.XLOOKUP(A130,C:C,E:E,"")</f>
        <v>22.123114681711588</v>
      </c>
      <c r="E130"/>
      <c r="F130" t="s">
        <v>92</v>
      </c>
      <c r="G130">
        <f t="shared" si="8"/>
        <v>95.264840772268272</v>
      </c>
      <c r="H130"/>
      <c r="I130" t="s">
        <v>92</v>
      </c>
      <c r="J130">
        <f t="shared" si="9"/>
        <v>3933.016070318743</v>
      </c>
      <c r="K130">
        <v>2066.9497977695714</v>
      </c>
      <c r="L130" t="s">
        <v>92</v>
      </c>
      <c r="M130">
        <f t="shared" si="10"/>
        <v>0</v>
      </c>
      <c r="N130">
        <v>11.242563095940771</v>
      </c>
    </row>
    <row r="131" spans="1:14" x14ac:dyDescent="0.3">
      <c r="A131" t="s">
        <v>109</v>
      </c>
      <c r="B131">
        <v>2.5</v>
      </c>
      <c r="C131" t="s">
        <v>94</v>
      </c>
      <c r="D131">
        <f t="shared" si="11"/>
        <v>35.112585786126161</v>
      </c>
      <c r="E131">
        <v>30.55141196747352</v>
      </c>
      <c r="F131" t="s">
        <v>94</v>
      </c>
      <c r="G131">
        <f t="shared" si="8"/>
        <v>93.994621148805152</v>
      </c>
      <c r="H131">
        <v>104.20641006918237</v>
      </c>
      <c r="I131" t="s">
        <v>94</v>
      </c>
      <c r="J131">
        <f t="shared" si="9"/>
        <v>6799.5859464457562</v>
      </c>
      <c r="K131">
        <v>3477.7248984268376</v>
      </c>
      <c r="L131" t="s">
        <v>94</v>
      </c>
      <c r="M131">
        <f t="shared" si="10"/>
        <v>2.1595108991484433</v>
      </c>
      <c r="N131">
        <v>3.2643546738912712</v>
      </c>
    </row>
    <row r="132" spans="1:14" x14ac:dyDescent="0.3">
      <c r="A132" t="s">
        <v>225</v>
      </c>
      <c r="B132">
        <v>0</v>
      </c>
      <c r="C132" t="s">
        <v>96</v>
      </c>
      <c r="D132">
        <f t="shared" si="11"/>
        <v>0</v>
      </c>
      <c r="E132"/>
      <c r="F132" t="s">
        <v>96</v>
      </c>
      <c r="G132">
        <f t="shared" si="8"/>
        <v>0</v>
      </c>
      <c r="H132"/>
      <c r="I132" t="s">
        <v>96</v>
      </c>
      <c r="J132">
        <f t="shared" si="9"/>
        <v>256799.91121205071</v>
      </c>
      <c r="K132">
        <v>799.19447022964187</v>
      </c>
      <c r="L132" t="s">
        <v>96</v>
      </c>
      <c r="M132">
        <f t="shared" si="10"/>
        <v>0</v>
      </c>
      <c r="N132">
        <v>7.1134704296583138</v>
      </c>
    </row>
    <row r="133" spans="1:14" x14ac:dyDescent="0.3">
      <c r="A133" t="s">
        <v>110</v>
      </c>
      <c r="B133">
        <v>2.5</v>
      </c>
      <c r="C133" t="s">
        <v>97</v>
      </c>
      <c r="D133">
        <f t="shared" si="11"/>
        <v>76.257117127092386</v>
      </c>
      <c r="E133">
        <v>85.601003209060877</v>
      </c>
      <c r="F133" t="s">
        <v>97</v>
      </c>
      <c r="G133">
        <f t="shared" si="8"/>
        <v>142.8642465991814</v>
      </c>
      <c r="H133">
        <v>161.07023260972159</v>
      </c>
      <c r="I133" t="s">
        <v>97</v>
      </c>
      <c r="J133">
        <f t="shared" si="9"/>
        <v>5838.6310808390235</v>
      </c>
      <c r="K133">
        <v>6026.5151870881191</v>
      </c>
      <c r="L133" t="s">
        <v>97</v>
      </c>
      <c r="M133">
        <f t="shared" si="10"/>
        <v>11.058106991483555</v>
      </c>
      <c r="N133">
        <v>1.8050014724398304</v>
      </c>
    </row>
    <row r="134" spans="1:14" x14ac:dyDescent="0.3">
      <c r="A134" t="s">
        <v>111</v>
      </c>
      <c r="B134">
        <v>2.8</v>
      </c>
      <c r="C134" t="s">
        <v>215</v>
      </c>
      <c r="D134">
        <f t="shared" si="11"/>
        <v>49.229023063194035</v>
      </c>
      <c r="E134"/>
      <c r="F134" t="s">
        <v>215</v>
      </c>
      <c r="G134">
        <f t="shared" ref="G134:G197" si="12">_xlfn.XLOOKUP(A134,F:F,H:H,"")</f>
        <v>116.80666953832942</v>
      </c>
      <c r="H134"/>
      <c r="I134" t="s">
        <v>215</v>
      </c>
      <c r="J134">
        <f t="shared" ref="J134:J197" si="13">_xlfn.XLOOKUP(A134,I:I,K:K,"")</f>
        <v>12258.160047733896</v>
      </c>
      <c r="K134">
        <v>13616.639759373396</v>
      </c>
      <c r="L134" t="s">
        <v>215</v>
      </c>
      <c r="M134">
        <f t="shared" ref="M134:M197" si="14">_xlfn.XLOOKUP(A134,L:L,N:N,"")</f>
        <v>6.8801132953960735</v>
      </c>
      <c r="N134">
        <v>8.3184807324695775</v>
      </c>
    </row>
    <row r="135" spans="1:14" x14ac:dyDescent="0.3">
      <c r="A135" t="s">
        <v>112</v>
      </c>
      <c r="B135">
        <v>0</v>
      </c>
      <c r="C135" t="s">
        <v>216</v>
      </c>
      <c r="D135">
        <f t="shared" si="11"/>
        <v>42.417603359456884</v>
      </c>
      <c r="E135">
        <v>25.201815852431452</v>
      </c>
      <c r="F135" t="s">
        <v>216</v>
      </c>
      <c r="G135">
        <f t="shared" si="12"/>
        <v>93.117884417977749</v>
      </c>
      <c r="H135">
        <v>48.734986120083065</v>
      </c>
      <c r="I135" t="s">
        <v>216</v>
      </c>
      <c r="J135">
        <f t="shared" si="13"/>
        <v>3813.72607421875</v>
      </c>
      <c r="K135">
        <v>10507.61387823533</v>
      </c>
      <c r="L135" t="s">
        <v>216</v>
      </c>
      <c r="M135">
        <f t="shared" si="14"/>
        <v>0.72586412267268274</v>
      </c>
      <c r="N135">
        <v>2.7791403957359138</v>
      </c>
    </row>
    <row r="136" spans="1:14" x14ac:dyDescent="0.3">
      <c r="A136" t="s">
        <v>113</v>
      </c>
      <c r="B136">
        <v>0</v>
      </c>
      <c r="C136" t="s">
        <v>217</v>
      </c>
      <c r="D136">
        <f t="shared" si="11"/>
        <v>45.600290630986137</v>
      </c>
      <c r="E136">
        <v>21.44785866938723</v>
      </c>
      <c r="F136" t="s">
        <v>217</v>
      </c>
      <c r="G136">
        <f t="shared" si="12"/>
        <v>106.0260836266568</v>
      </c>
      <c r="H136">
        <v>48.480675340935242</v>
      </c>
      <c r="I136" t="s">
        <v>217</v>
      </c>
      <c r="J136">
        <f t="shared" si="13"/>
        <v>622.19113324596674</v>
      </c>
      <c r="K136">
        <v>1258.1569030973208</v>
      </c>
      <c r="L136" t="s">
        <v>217</v>
      </c>
      <c r="M136">
        <f t="shared" si="14"/>
        <v>12.822871755775925</v>
      </c>
      <c r="N136">
        <v>2.4105340306353229</v>
      </c>
    </row>
    <row r="137" spans="1:14" x14ac:dyDescent="0.3">
      <c r="A137" t="s">
        <v>114</v>
      </c>
      <c r="B137">
        <v>0</v>
      </c>
      <c r="C137" t="s">
        <v>218</v>
      </c>
      <c r="D137">
        <f t="shared" si="11"/>
        <v>0</v>
      </c>
      <c r="E137">
        <v>19.514264613081661</v>
      </c>
      <c r="F137" t="s">
        <v>218</v>
      </c>
      <c r="G137">
        <f t="shared" si="12"/>
        <v>0</v>
      </c>
      <c r="H137">
        <v>46.657821126344267</v>
      </c>
      <c r="I137" t="s">
        <v>218</v>
      </c>
      <c r="J137">
        <f t="shared" si="13"/>
        <v>1233.1966620926912</v>
      </c>
      <c r="K137">
        <v>765.64916597332979</v>
      </c>
      <c r="L137" t="s">
        <v>218</v>
      </c>
      <c r="M137">
        <f t="shared" si="14"/>
        <v>2.2771513166160107</v>
      </c>
      <c r="N137">
        <v>3.6540402671776402</v>
      </c>
    </row>
    <row r="138" spans="1:14" x14ac:dyDescent="0.3">
      <c r="A138" t="s">
        <v>115</v>
      </c>
      <c r="B138">
        <v>2.9</v>
      </c>
      <c r="C138" t="s">
        <v>219</v>
      </c>
      <c r="D138">
        <f t="shared" si="11"/>
        <v>43.284616772667668</v>
      </c>
      <c r="E138"/>
      <c r="F138" t="s">
        <v>219</v>
      </c>
      <c r="G138">
        <f t="shared" si="12"/>
        <v>109.81759967030018</v>
      </c>
      <c r="H138"/>
      <c r="I138" t="s">
        <v>219</v>
      </c>
      <c r="J138">
        <f t="shared" si="13"/>
        <v>4225.991024181023</v>
      </c>
      <c r="K138">
        <v>206780.59035338453</v>
      </c>
      <c r="L138" t="s">
        <v>219</v>
      </c>
      <c r="M138">
        <f t="shared" si="14"/>
        <v>18.322742610429525</v>
      </c>
      <c r="N138"/>
    </row>
    <row r="139" spans="1:14" x14ac:dyDescent="0.3">
      <c r="A139" t="s">
        <v>233</v>
      </c>
      <c r="B139">
        <v>0</v>
      </c>
      <c r="C139" t="s">
        <v>148</v>
      </c>
      <c r="D139">
        <f t="shared" si="11"/>
        <v>40.833333333333336</v>
      </c>
      <c r="E139">
        <v>20.599528367211203</v>
      </c>
      <c r="F139" t="s">
        <v>148</v>
      </c>
      <c r="G139">
        <f t="shared" si="12"/>
        <v>135</v>
      </c>
      <c r="H139">
        <v>43.347668119513415</v>
      </c>
      <c r="I139" t="s">
        <v>148</v>
      </c>
      <c r="J139">
        <f t="shared" si="13"/>
        <v>13602.637211289339</v>
      </c>
      <c r="K139">
        <v>3815.4153176747432</v>
      </c>
      <c r="L139" t="s">
        <v>148</v>
      </c>
      <c r="M139">
        <f t="shared" si="14"/>
        <v>0.89536494870717742</v>
      </c>
      <c r="N139">
        <v>0.84801707679671712</v>
      </c>
    </row>
    <row r="140" spans="1:14" x14ac:dyDescent="0.3">
      <c r="A140" t="s">
        <v>116</v>
      </c>
      <c r="B140">
        <v>0</v>
      </c>
      <c r="C140" t="s">
        <v>220</v>
      </c>
      <c r="D140">
        <f t="shared" si="11"/>
        <v>7.0059672808613609</v>
      </c>
      <c r="E140">
        <v>22.936468862611203</v>
      </c>
      <c r="F140" t="s">
        <v>220</v>
      </c>
      <c r="G140">
        <f t="shared" si="12"/>
        <v>41.570150293246741</v>
      </c>
      <c r="H140">
        <v>48.238730100373452</v>
      </c>
      <c r="I140" t="s">
        <v>220</v>
      </c>
      <c r="J140">
        <f t="shared" si="13"/>
        <v>1382.3830089542373</v>
      </c>
      <c r="K140">
        <v>2319.9548154748586</v>
      </c>
      <c r="L140" t="s">
        <v>220</v>
      </c>
      <c r="M140">
        <f t="shared" si="14"/>
        <v>0.18227214989516968</v>
      </c>
      <c r="N140">
        <v>1.1159327482382129</v>
      </c>
    </row>
    <row r="141" spans="1:14" x14ac:dyDescent="0.3">
      <c r="A141" t="s">
        <v>117</v>
      </c>
      <c r="B141">
        <v>4.0999999999999996</v>
      </c>
      <c r="C141" t="s">
        <v>221</v>
      </c>
      <c r="D141">
        <f t="shared" si="11"/>
        <v>87.486061289379535</v>
      </c>
      <c r="E141">
        <v>24.050873545822419</v>
      </c>
      <c r="F141" t="s">
        <v>221</v>
      </c>
      <c r="G141">
        <f t="shared" si="12"/>
        <v>165.03042947893266</v>
      </c>
      <c r="H141">
        <v>48.516707045883123</v>
      </c>
      <c r="I141" t="s">
        <v>221</v>
      </c>
      <c r="J141">
        <f t="shared" si="13"/>
        <v>63515.603078001921</v>
      </c>
      <c r="K141">
        <v>5733.515844697291</v>
      </c>
      <c r="L141" t="s">
        <v>221</v>
      </c>
      <c r="M141">
        <f t="shared" si="14"/>
        <v>-30.243073296559153</v>
      </c>
      <c r="N141">
        <v>1.0753258126305196</v>
      </c>
    </row>
    <row r="142" spans="1:14" x14ac:dyDescent="0.3">
      <c r="A142" t="s">
        <v>232</v>
      </c>
      <c r="B142">
        <v>0</v>
      </c>
      <c r="C142" t="s">
        <v>95</v>
      </c>
      <c r="D142">
        <f t="shared" si="11"/>
        <v>16.937354601113171</v>
      </c>
      <c r="E142">
        <v>42.682978708148561</v>
      </c>
      <c r="F142" t="s">
        <v>95</v>
      </c>
      <c r="G142">
        <f t="shared" si="12"/>
        <v>51.630734721706858</v>
      </c>
      <c r="H142">
        <v>140.7224878775281</v>
      </c>
      <c r="I142" t="s">
        <v>95</v>
      </c>
      <c r="J142">
        <f t="shared" si="13"/>
        <v>33701.892332278054</v>
      </c>
      <c r="K142">
        <v>921.43514155705554</v>
      </c>
      <c r="L142" t="s">
        <v>95</v>
      </c>
      <c r="M142">
        <f t="shared" si="14"/>
        <v>7.0348847828066123</v>
      </c>
      <c r="N142">
        <v>-1.2041955010053249</v>
      </c>
    </row>
    <row r="143" spans="1:14" x14ac:dyDescent="0.3">
      <c r="A143" t="s">
        <v>118</v>
      </c>
      <c r="B143">
        <v>3.6</v>
      </c>
      <c r="C143" t="s">
        <v>222</v>
      </c>
      <c r="D143">
        <f t="shared" si="11"/>
        <v>23.630310071020517</v>
      </c>
      <c r="E143">
        <v>29.773397053845052</v>
      </c>
      <c r="F143" t="s">
        <v>222</v>
      </c>
      <c r="G143">
        <f t="shared" si="12"/>
        <v>49.865504149849691</v>
      </c>
      <c r="H143">
        <v>54.729354341427985</v>
      </c>
      <c r="I143" t="s">
        <v>222</v>
      </c>
      <c r="J143">
        <f t="shared" si="13"/>
        <v>49302.341876493003</v>
      </c>
      <c r="K143">
        <v>12427.249713759978</v>
      </c>
      <c r="L143" t="s">
        <v>222</v>
      </c>
      <c r="M143">
        <f t="shared" si="14"/>
        <v>1.714263785345409</v>
      </c>
      <c r="N143">
        <v>0.47161814166555571</v>
      </c>
    </row>
    <row r="144" spans="1:14" x14ac:dyDescent="0.3">
      <c r="A144" t="s">
        <v>119</v>
      </c>
      <c r="B144">
        <v>2.5</v>
      </c>
      <c r="C144" t="s">
        <v>98</v>
      </c>
      <c r="D144">
        <f t="shared" si="11"/>
        <v>45.865809532357225</v>
      </c>
      <c r="E144">
        <v>75.933513171116019</v>
      </c>
      <c r="F144" t="s">
        <v>98</v>
      </c>
      <c r="G144">
        <f t="shared" si="12"/>
        <v>105.01953557985159</v>
      </c>
      <c r="H144">
        <v>147.99075177642794</v>
      </c>
      <c r="I144" t="s">
        <v>98</v>
      </c>
      <c r="J144">
        <f t="shared" si="13"/>
        <v>2609.444911479753</v>
      </c>
      <c r="K144">
        <v>27983.365825688685</v>
      </c>
      <c r="L144" t="s">
        <v>98</v>
      </c>
      <c r="M144">
        <f t="shared" si="14"/>
        <v>6.2558119194242634</v>
      </c>
      <c r="N144">
        <v>4.767640514513773</v>
      </c>
    </row>
    <row r="145" spans="1:14" x14ac:dyDescent="0.3">
      <c r="A145" t="s">
        <v>120</v>
      </c>
      <c r="B145">
        <v>0</v>
      </c>
      <c r="C145" t="s">
        <v>99</v>
      </c>
      <c r="D145">
        <f t="shared" si="11"/>
        <v>8.2511648671873896</v>
      </c>
      <c r="E145">
        <v>217.37982258397838</v>
      </c>
      <c r="F145" t="s">
        <v>99</v>
      </c>
      <c r="G145">
        <f t="shared" si="12"/>
        <v>30.717653506905556</v>
      </c>
      <c r="H145">
        <v>402.56696819734452</v>
      </c>
      <c r="I145" t="s">
        <v>99</v>
      </c>
      <c r="J145">
        <f t="shared" si="13"/>
        <v>647.93010850956705</v>
      </c>
      <c r="K145">
        <v>133230.6191788991</v>
      </c>
      <c r="L145" t="s">
        <v>99</v>
      </c>
      <c r="M145">
        <f t="shared" si="14"/>
        <v>6.0505406202461725</v>
      </c>
      <c r="N145">
        <v>-10.451131683512546</v>
      </c>
    </row>
    <row r="146" spans="1:14" x14ac:dyDescent="0.3">
      <c r="A146" t="s">
        <v>121</v>
      </c>
      <c r="B146">
        <v>2.6</v>
      </c>
      <c r="C146" t="s">
        <v>93</v>
      </c>
      <c r="D146">
        <f t="shared" si="11"/>
        <v>0</v>
      </c>
      <c r="E146">
        <v>65.989655148271467</v>
      </c>
      <c r="F146" t="s">
        <v>93</v>
      </c>
      <c r="G146">
        <f t="shared" si="12"/>
        <v>0</v>
      </c>
      <c r="H146">
        <v>135.64298915426642</v>
      </c>
      <c r="I146" t="s">
        <v>93</v>
      </c>
      <c r="J146">
        <f t="shared" si="13"/>
        <v>2138.7638371875655</v>
      </c>
      <c r="K146">
        <v>22710.263754419742</v>
      </c>
      <c r="L146" t="s">
        <v>93</v>
      </c>
      <c r="M146">
        <f t="shared" si="14"/>
        <v>0.38419519791683565</v>
      </c>
      <c r="N146">
        <v>3.9483077936187079</v>
      </c>
    </row>
    <row r="147" spans="1:14" x14ac:dyDescent="0.3">
      <c r="A147" t="s">
        <v>122</v>
      </c>
      <c r="B147">
        <v>3.1</v>
      </c>
      <c r="C147" t="s">
        <v>223</v>
      </c>
      <c r="D147">
        <f t="shared" si="11"/>
        <v>67.396998045863512</v>
      </c>
      <c r="E147">
        <v>92.417043576585201</v>
      </c>
      <c r="F147" t="s">
        <v>223</v>
      </c>
      <c r="G147">
        <f t="shared" si="12"/>
        <v>147.79425348308993</v>
      </c>
      <c r="H147">
        <v>145.8744672523267</v>
      </c>
      <c r="I147" t="s">
        <v>223</v>
      </c>
      <c r="J147">
        <f t="shared" si="13"/>
        <v>8674.3584632748534</v>
      </c>
      <c r="K147">
        <v>67216.363111212369</v>
      </c>
      <c r="L147" t="s">
        <v>223</v>
      </c>
      <c r="M147">
        <f t="shared" si="14"/>
        <v>4.0460109444974277</v>
      </c>
      <c r="N147">
        <v>2.508085989993952</v>
      </c>
    </row>
    <row r="148" spans="1:14" x14ac:dyDescent="0.3">
      <c r="A148" t="s">
        <v>230</v>
      </c>
      <c r="B148">
        <v>0</v>
      </c>
      <c r="C148" t="s">
        <v>224</v>
      </c>
      <c r="D148">
        <f t="shared" si="11"/>
        <v>0</v>
      </c>
      <c r="E148"/>
      <c r="F148" t="s">
        <v>224</v>
      </c>
      <c r="G148">
        <f t="shared" si="12"/>
        <v>0</v>
      </c>
      <c r="H148"/>
      <c r="I148" t="s">
        <v>224</v>
      </c>
      <c r="J148">
        <f t="shared" si="13"/>
        <v>0</v>
      </c>
      <c r="K148"/>
      <c r="L148" t="s">
        <v>224</v>
      </c>
      <c r="M148">
        <f t="shared" si="14"/>
        <v>0</v>
      </c>
      <c r="N148"/>
    </row>
    <row r="149" spans="1:14" x14ac:dyDescent="0.3">
      <c r="A149" t="s">
        <v>123</v>
      </c>
      <c r="B149">
        <v>3.7</v>
      </c>
      <c r="C149" t="s">
        <v>112</v>
      </c>
      <c r="D149">
        <f t="shared" si="11"/>
        <v>46.404961770113225</v>
      </c>
      <c r="E149">
        <v>42.417603359456884</v>
      </c>
      <c r="F149" t="s">
        <v>112</v>
      </c>
      <c r="G149">
        <f t="shared" si="12"/>
        <v>77.401189583706014</v>
      </c>
      <c r="H149">
        <v>93.117884417977749</v>
      </c>
      <c r="I149" t="s">
        <v>112</v>
      </c>
      <c r="J149">
        <f t="shared" si="13"/>
        <v>90984.408714111094</v>
      </c>
      <c r="K149">
        <v>3813.72607421875</v>
      </c>
      <c r="L149" t="s">
        <v>112</v>
      </c>
      <c r="M149">
        <f t="shared" si="14"/>
        <v>2.7449909379729833</v>
      </c>
      <c r="N149">
        <v>0.72586412267268274</v>
      </c>
    </row>
    <row r="150" spans="1:14" x14ac:dyDescent="0.3">
      <c r="A150" t="s">
        <v>124</v>
      </c>
      <c r="B150">
        <v>3.3</v>
      </c>
      <c r="C150" t="s">
        <v>225</v>
      </c>
      <c r="D150">
        <f t="shared" si="11"/>
        <v>61.58434279892078</v>
      </c>
      <c r="E150"/>
      <c r="F150" t="s">
        <v>225</v>
      </c>
      <c r="G150">
        <f t="shared" si="12"/>
        <v>106.44673110260412</v>
      </c>
      <c r="H150"/>
      <c r="I150" t="s">
        <v>225</v>
      </c>
      <c r="J150">
        <f t="shared" si="13"/>
        <v>21027.738457265739</v>
      </c>
      <c r="K150">
        <v>256799.91121205071</v>
      </c>
      <c r="L150" t="s">
        <v>225</v>
      </c>
      <c r="M150">
        <f t="shared" si="14"/>
        <v>11.815792912822866</v>
      </c>
      <c r="N150"/>
    </row>
    <row r="151" spans="1:14" x14ac:dyDescent="0.3">
      <c r="A151" t="s">
        <v>125</v>
      </c>
      <c r="B151">
        <v>0</v>
      </c>
      <c r="C151" t="s">
        <v>109</v>
      </c>
      <c r="D151">
        <f t="shared" si="11"/>
        <v>10.493958751156445</v>
      </c>
      <c r="E151">
        <v>35.112585786126161</v>
      </c>
      <c r="F151" t="s">
        <v>109</v>
      </c>
      <c r="G151">
        <f t="shared" si="12"/>
        <v>28.467692546983692</v>
      </c>
      <c r="H151">
        <v>93.994621148805152</v>
      </c>
      <c r="I151" t="s">
        <v>109</v>
      </c>
      <c r="J151">
        <f t="shared" si="13"/>
        <v>1360.3241775841927</v>
      </c>
      <c r="K151">
        <v>6799.5859464457562</v>
      </c>
      <c r="L151" t="s">
        <v>109</v>
      </c>
      <c r="M151">
        <f t="shared" si="14"/>
        <v>0.60828127082062422</v>
      </c>
      <c r="N151">
        <v>2.1595108991484433</v>
      </c>
    </row>
    <row r="152" spans="1:14" x14ac:dyDescent="0.3">
      <c r="A152" t="s">
        <v>236</v>
      </c>
      <c r="B152">
        <v>0</v>
      </c>
      <c r="C152" t="s">
        <v>100</v>
      </c>
      <c r="D152">
        <f t="shared" si="11"/>
        <v>26.141030407554855</v>
      </c>
      <c r="E152">
        <v>26.722886123742672</v>
      </c>
      <c r="F152" t="s">
        <v>100</v>
      </c>
      <c r="G152">
        <f t="shared" si="12"/>
        <v>106.75762354915305</v>
      </c>
      <c r="H152">
        <v>62.762214759431231</v>
      </c>
      <c r="I152" t="s">
        <v>100</v>
      </c>
      <c r="J152">
        <f t="shared" si="13"/>
        <v>15578.349763073278</v>
      </c>
      <c r="K152">
        <v>514.06407655192743</v>
      </c>
      <c r="L152" t="s">
        <v>100</v>
      </c>
      <c r="M152">
        <f t="shared" si="14"/>
        <v>28.930964077665401</v>
      </c>
      <c r="N152">
        <v>3.2395378979090665</v>
      </c>
    </row>
    <row r="153" spans="1:14" x14ac:dyDescent="0.3">
      <c r="A153" t="s">
        <v>126</v>
      </c>
      <c r="B153">
        <v>3.1</v>
      </c>
      <c r="C153" t="s">
        <v>103</v>
      </c>
      <c r="D153">
        <f t="shared" si="11"/>
        <v>45.629244002545349</v>
      </c>
      <c r="E153">
        <v>74.043769266111553</v>
      </c>
      <c r="F153" t="s">
        <v>103</v>
      </c>
      <c r="G153">
        <f t="shared" si="12"/>
        <v>88.348910516979515</v>
      </c>
      <c r="H153">
        <v>149.34997617743443</v>
      </c>
      <c r="I153" t="s">
        <v>103</v>
      </c>
      <c r="J153">
        <f t="shared" si="13"/>
        <v>18797.193389461059</v>
      </c>
      <c r="K153">
        <v>12587.612603865125</v>
      </c>
      <c r="L153" t="s">
        <v>103</v>
      </c>
      <c r="M153">
        <f t="shared" si="14"/>
        <v>3.2638431272317407</v>
      </c>
      <c r="N153">
        <v>11.581845875684458</v>
      </c>
    </row>
    <row r="154" spans="1:14" x14ac:dyDescent="0.3">
      <c r="A154" t="s">
        <v>127</v>
      </c>
      <c r="B154">
        <v>2.7</v>
      </c>
      <c r="C154" t="s">
        <v>226</v>
      </c>
      <c r="D154">
        <f t="shared" si="11"/>
        <v>0</v>
      </c>
      <c r="E154">
        <v>41.117276362339567</v>
      </c>
      <c r="F154" t="s">
        <v>226</v>
      </c>
      <c r="G154">
        <f t="shared" si="12"/>
        <v>0</v>
      </c>
      <c r="H154">
        <v>77.29588989282307</v>
      </c>
      <c r="I154" t="s">
        <v>226</v>
      </c>
      <c r="J154">
        <f t="shared" si="13"/>
        <v>2966.064550453335</v>
      </c>
      <c r="K154">
        <v>6144.7030805474233</v>
      </c>
      <c r="L154" t="s">
        <v>226</v>
      </c>
      <c r="M154">
        <f t="shared" si="14"/>
        <v>0.14051995460890285</v>
      </c>
      <c r="N154">
        <v>2.6854752211813526</v>
      </c>
    </row>
    <row r="155" spans="1:14" x14ac:dyDescent="0.3">
      <c r="A155" t="s">
        <v>128</v>
      </c>
      <c r="B155">
        <v>2.7</v>
      </c>
      <c r="C155" t="s">
        <v>108</v>
      </c>
      <c r="D155">
        <f t="shared" si="11"/>
        <v>42.257662716231025</v>
      </c>
      <c r="E155">
        <v>36.147934367506863</v>
      </c>
      <c r="F155" t="s">
        <v>108</v>
      </c>
      <c r="G155">
        <f t="shared" si="12"/>
        <v>82.57772522965162</v>
      </c>
      <c r="H155">
        <v>73.739075825566431</v>
      </c>
      <c r="I155" t="s">
        <v>108</v>
      </c>
      <c r="J155">
        <f t="shared" si="13"/>
        <v>6303.2649501729247</v>
      </c>
      <c r="K155">
        <v>13830.843848864017</v>
      </c>
      <c r="L155" t="s">
        <v>108</v>
      </c>
      <c r="M155">
        <f t="shared" si="14"/>
        <v>2.5770019137044304</v>
      </c>
      <c r="N155">
        <v>1.7099038174861021</v>
      </c>
    </row>
    <row r="156" spans="1:14" x14ac:dyDescent="0.3">
      <c r="A156" t="s">
        <v>129</v>
      </c>
      <c r="B156">
        <v>3</v>
      </c>
      <c r="C156" t="s">
        <v>227</v>
      </c>
      <c r="D156">
        <f t="shared" si="11"/>
        <v>27.17016181352329</v>
      </c>
      <c r="E156">
        <v>38.257575757575758</v>
      </c>
      <c r="F156" t="s">
        <v>227</v>
      </c>
      <c r="G156">
        <f t="shared" si="12"/>
        <v>50.90703072134928</v>
      </c>
      <c r="H156">
        <v>118.18181818181819</v>
      </c>
      <c r="I156" t="s">
        <v>227</v>
      </c>
      <c r="J156">
        <f t="shared" si="13"/>
        <v>7919.0463482854739</v>
      </c>
      <c r="K156">
        <v>6799.3921755479432</v>
      </c>
      <c r="L156" t="s">
        <v>227</v>
      </c>
      <c r="M156">
        <f t="shared" si="14"/>
        <v>1.6433496097335278</v>
      </c>
      <c r="N156">
        <v>3.4656270186657121</v>
      </c>
    </row>
    <row r="157" spans="1:14" x14ac:dyDescent="0.3">
      <c r="A157" t="s">
        <v>130</v>
      </c>
      <c r="B157">
        <v>3.3</v>
      </c>
      <c r="C157" t="s">
        <v>228</v>
      </c>
      <c r="D157">
        <f t="shared" si="11"/>
        <v>26.636849347058483</v>
      </c>
      <c r="E157">
        <v>24.130743788629527</v>
      </c>
      <c r="F157" t="s">
        <v>228</v>
      </c>
      <c r="G157">
        <f t="shared" si="12"/>
        <v>67.41996931716065</v>
      </c>
      <c r="H157">
        <v>48.542614563727568</v>
      </c>
      <c r="I157" t="s">
        <v>228</v>
      </c>
      <c r="J157">
        <f t="shared" si="13"/>
        <v>3804.0827413171801</v>
      </c>
      <c r="K157">
        <v>6342.8466072786305</v>
      </c>
      <c r="L157" t="s">
        <v>228</v>
      </c>
      <c r="M157">
        <f t="shared" si="14"/>
        <v>2.0421035482033609</v>
      </c>
      <c r="N157">
        <v>1.042841323207518</v>
      </c>
    </row>
    <row r="158" spans="1:14" x14ac:dyDescent="0.3">
      <c r="A158" t="s">
        <v>131</v>
      </c>
      <c r="B158">
        <v>3.6</v>
      </c>
      <c r="C158" t="s">
        <v>122</v>
      </c>
      <c r="D158">
        <f t="shared" si="11"/>
        <v>57.881271019543377</v>
      </c>
      <c r="E158">
        <v>67.396998045863512</v>
      </c>
      <c r="F158" t="s">
        <v>122</v>
      </c>
      <c r="G158">
        <f t="shared" si="12"/>
        <v>110.0249350418151</v>
      </c>
      <c r="H158">
        <v>147.79425348308993</v>
      </c>
      <c r="I158" t="s">
        <v>122</v>
      </c>
      <c r="J158">
        <f t="shared" si="13"/>
        <v>22145.266064742871</v>
      </c>
      <c r="K158">
        <v>8674.3584632748534</v>
      </c>
      <c r="L158" t="s">
        <v>122</v>
      </c>
      <c r="M158">
        <f t="shared" si="14"/>
        <v>4.3891867339054498</v>
      </c>
      <c r="N158">
        <v>4.0460109444974277</v>
      </c>
    </row>
    <row r="159" spans="1:14" x14ac:dyDescent="0.3">
      <c r="A159" t="s">
        <v>132</v>
      </c>
      <c r="B159">
        <v>3.4</v>
      </c>
      <c r="C159" t="s">
        <v>104</v>
      </c>
      <c r="D159">
        <f t="shared" si="11"/>
        <v>47.15547693148816</v>
      </c>
      <c r="E159">
        <v>24.786377502985786</v>
      </c>
      <c r="F159" t="s">
        <v>104</v>
      </c>
      <c r="G159">
        <f t="shared" si="12"/>
        <v>93.135853707203836</v>
      </c>
      <c r="H159">
        <v>57.629157226929614</v>
      </c>
      <c r="I159" t="s">
        <v>104</v>
      </c>
      <c r="J159">
        <f t="shared" si="13"/>
        <v>27634.618313977298</v>
      </c>
      <c r="K159">
        <v>1042.4422344483685</v>
      </c>
      <c r="L159" t="s">
        <v>104</v>
      </c>
      <c r="M159">
        <f t="shared" si="14"/>
        <v>3.963254287431238</v>
      </c>
      <c r="N159">
        <v>2.8354240804510673</v>
      </c>
    </row>
    <row r="160" spans="1:14" x14ac:dyDescent="0.3">
      <c r="A160" t="s">
        <v>238</v>
      </c>
      <c r="B160">
        <v>0</v>
      </c>
      <c r="C160" t="s">
        <v>105</v>
      </c>
      <c r="D160">
        <f t="shared" si="11"/>
        <v>53.644807784964875</v>
      </c>
      <c r="E160">
        <v>119.74833690166693</v>
      </c>
      <c r="F160" t="s">
        <v>105</v>
      </c>
      <c r="G160">
        <f t="shared" si="12"/>
        <v>101.65755095167714</v>
      </c>
      <c r="H160">
        <v>221.13329637559258</v>
      </c>
      <c r="I160" t="s">
        <v>105</v>
      </c>
      <c r="J160">
        <f t="shared" si="13"/>
        <v>36980.765392806781</v>
      </c>
      <c r="K160">
        <v>40932.523877446052</v>
      </c>
      <c r="L160" t="s">
        <v>105</v>
      </c>
      <c r="M160">
        <f t="shared" si="14"/>
        <v>0</v>
      </c>
      <c r="N160">
        <v>108.73527077072072</v>
      </c>
    </row>
    <row r="161" spans="1:14" x14ac:dyDescent="0.3">
      <c r="A161" t="s">
        <v>133</v>
      </c>
      <c r="B161">
        <v>3.5</v>
      </c>
      <c r="C161" t="s">
        <v>114</v>
      </c>
      <c r="D161">
        <f t="shared" si="11"/>
        <v>0</v>
      </c>
      <c r="E161"/>
      <c r="F161" t="s">
        <v>114</v>
      </c>
      <c r="G161">
        <f t="shared" si="12"/>
        <v>0</v>
      </c>
      <c r="H161"/>
      <c r="I161" t="s">
        <v>114</v>
      </c>
      <c r="J161">
        <f t="shared" si="13"/>
        <v>80195.874650854865</v>
      </c>
      <c r="K161">
        <v>1233.1966620926912</v>
      </c>
      <c r="L161" t="s">
        <v>114</v>
      </c>
      <c r="M161">
        <f t="shared" si="14"/>
        <v>-0.22261482167470653</v>
      </c>
      <c r="N161">
        <v>2.2771513166160107</v>
      </c>
    </row>
    <row r="162" spans="1:14" x14ac:dyDescent="0.3">
      <c r="A162" t="s">
        <v>134</v>
      </c>
      <c r="B162">
        <v>3.2</v>
      </c>
      <c r="C162" t="s">
        <v>229</v>
      </c>
      <c r="D162">
        <f t="shared" si="11"/>
        <v>39.24459754628856</v>
      </c>
      <c r="E162">
        <v>26.008823218634209</v>
      </c>
      <c r="F162" t="s">
        <v>229</v>
      </c>
      <c r="G162">
        <f t="shared" si="12"/>
        <v>83.375332406223137</v>
      </c>
      <c r="H162">
        <v>56.1774153986252</v>
      </c>
      <c r="I162" t="s">
        <v>229</v>
      </c>
      <c r="J162">
        <f t="shared" si="13"/>
        <v>18244.418687632093</v>
      </c>
      <c r="K162">
        <v>2872.3900850508262</v>
      </c>
      <c r="L162" t="s">
        <v>229</v>
      </c>
      <c r="M162">
        <f t="shared" si="14"/>
        <v>2.5042686065484152</v>
      </c>
      <c r="N162">
        <v>0.71550047527958704</v>
      </c>
    </row>
    <row r="163" spans="1:14" x14ac:dyDescent="0.3">
      <c r="A163" t="s">
        <v>135</v>
      </c>
      <c r="B163">
        <v>2.6</v>
      </c>
      <c r="C163" t="s">
        <v>111</v>
      </c>
      <c r="D163">
        <f t="shared" si="11"/>
        <v>22.769939314029696</v>
      </c>
      <c r="E163">
        <v>49.229023063194035</v>
      </c>
      <c r="F163" t="s">
        <v>111</v>
      </c>
      <c r="G163">
        <f t="shared" si="12"/>
        <v>41.339511649293293</v>
      </c>
      <c r="H163">
        <v>116.80666953832942</v>
      </c>
      <c r="I163" t="s">
        <v>111</v>
      </c>
      <c r="J163">
        <f t="shared" si="13"/>
        <v>13986.9951171875</v>
      </c>
      <c r="K163">
        <v>12258.160047733896</v>
      </c>
      <c r="L163" t="s">
        <v>111</v>
      </c>
      <c r="M163">
        <f t="shared" si="14"/>
        <v>-0.49089549082894079</v>
      </c>
      <c r="N163">
        <v>6.8801132953960735</v>
      </c>
    </row>
    <row r="164" spans="1:14" x14ac:dyDescent="0.3">
      <c r="A164" t="s">
        <v>136</v>
      </c>
      <c r="B164">
        <v>2.8</v>
      </c>
      <c r="C164" t="s">
        <v>110</v>
      </c>
      <c r="D164">
        <f t="shared" si="11"/>
        <v>23.700606027817663</v>
      </c>
      <c r="E164">
        <v>76.257117127092386</v>
      </c>
      <c r="F164" t="s">
        <v>110</v>
      </c>
      <c r="G164">
        <f t="shared" si="12"/>
        <v>66.892583933947179</v>
      </c>
      <c r="H164">
        <v>142.8642465991814</v>
      </c>
      <c r="I164" t="s">
        <v>110</v>
      </c>
      <c r="J164">
        <f t="shared" si="13"/>
        <v>1061.0578815407637</v>
      </c>
      <c r="K164">
        <v>5838.6310808390235</v>
      </c>
      <c r="L164" t="s">
        <v>110</v>
      </c>
      <c r="M164">
        <f t="shared" si="14"/>
        <v>3.0908314495854063</v>
      </c>
      <c r="N164">
        <v>11.058106991483555</v>
      </c>
    </row>
    <row r="165" spans="1:14" x14ac:dyDescent="0.3">
      <c r="A165" t="s">
        <v>270</v>
      </c>
      <c r="B165">
        <v>0</v>
      </c>
      <c r="C165" t="s">
        <v>230</v>
      </c>
      <c r="D165">
        <f t="shared" si="11"/>
        <v>26.208579909602925</v>
      </c>
      <c r="E165"/>
      <c r="F165" t="s">
        <v>230</v>
      </c>
      <c r="G165">
        <f t="shared" si="12"/>
        <v>80.840512570907819</v>
      </c>
      <c r="H165"/>
      <c r="I165" t="s">
        <v>230</v>
      </c>
      <c r="J165">
        <f t="shared" si="13"/>
        <v>4822.7408465001881</v>
      </c>
      <c r="K165"/>
      <c r="L165" t="s">
        <v>230</v>
      </c>
      <c r="M165">
        <f t="shared" si="14"/>
        <v>0.22929401789783202</v>
      </c>
      <c r="N165"/>
    </row>
    <row r="166" spans="1:14" x14ac:dyDescent="0.3">
      <c r="A166" t="s">
        <v>245</v>
      </c>
      <c r="B166">
        <v>0</v>
      </c>
      <c r="C166" t="s">
        <v>113</v>
      </c>
      <c r="D166">
        <f t="shared" si="11"/>
        <v>185.99279727866613</v>
      </c>
      <c r="E166">
        <v>45.600290630986137</v>
      </c>
      <c r="F166" t="s">
        <v>113</v>
      </c>
      <c r="G166">
        <f t="shared" si="12"/>
        <v>340.98340011735183</v>
      </c>
      <c r="H166">
        <v>106.0260836266568</v>
      </c>
      <c r="I166" t="s">
        <v>113</v>
      </c>
      <c r="J166">
        <f t="shared" si="13"/>
        <v>59871.328810147803</v>
      </c>
      <c r="K166">
        <v>622.19113324596674</v>
      </c>
      <c r="L166" t="s">
        <v>113</v>
      </c>
      <c r="M166">
        <f t="shared" si="14"/>
        <v>-0.8934731478322222</v>
      </c>
      <c r="N166">
        <v>12.822871755775925</v>
      </c>
    </row>
    <row r="167" spans="1:14" x14ac:dyDescent="0.3">
      <c r="A167" t="s">
        <v>137</v>
      </c>
      <c r="B167">
        <v>0</v>
      </c>
      <c r="C167" t="s">
        <v>106</v>
      </c>
      <c r="D167">
        <f t="shared" si="11"/>
        <v>14.243802182464155</v>
      </c>
      <c r="E167">
        <v>38.40709081497976</v>
      </c>
      <c r="F167" t="s">
        <v>106</v>
      </c>
      <c r="G167">
        <f t="shared" si="12"/>
        <v>46.974578733663243</v>
      </c>
      <c r="H167">
        <v>92.165444514674249</v>
      </c>
      <c r="I167" t="s">
        <v>106</v>
      </c>
      <c r="J167">
        <f t="shared" si="13"/>
        <v>2990.6606143534955</v>
      </c>
      <c r="K167">
        <v>2127.957628597303</v>
      </c>
      <c r="L167" t="s">
        <v>106</v>
      </c>
      <c r="M167">
        <f t="shared" si="14"/>
        <v>-3.7365988496794116</v>
      </c>
      <c r="N167">
        <v>7.9377630355791009</v>
      </c>
    </row>
    <row r="168" spans="1:14" x14ac:dyDescent="0.3">
      <c r="A168" t="s">
        <v>138</v>
      </c>
      <c r="B168">
        <v>3.4</v>
      </c>
      <c r="C168" t="s">
        <v>107</v>
      </c>
      <c r="D168">
        <f t="shared" si="11"/>
        <v>30.755961067844162</v>
      </c>
      <c r="E168">
        <v>69.041145350936404</v>
      </c>
      <c r="F168" t="s">
        <v>107</v>
      </c>
      <c r="G168">
        <f t="shared" si="12"/>
        <v>55.797468232548667</v>
      </c>
      <c r="H168">
        <v>147.32139212885198</v>
      </c>
      <c r="I168" t="s">
        <v>107</v>
      </c>
      <c r="J168">
        <f t="shared" si="13"/>
        <v>36156.856250017248</v>
      </c>
      <c r="K168">
        <v>11269.968446213859</v>
      </c>
      <c r="L168" t="s">
        <v>107</v>
      </c>
      <c r="M168">
        <f t="shared" si="14"/>
        <v>1.8713099129894613</v>
      </c>
      <c r="N168">
        <v>5.399631303992952</v>
      </c>
    </row>
    <row r="169" spans="1:14" x14ac:dyDescent="0.3">
      <c r="A169" t="s">
        <v>139</v>
      </c>
      <c r="B169">
        <v>0</v>
      </c>
      <c r="C169" t="s">
        <v>101</v>
      </c>
      <c r="D169">
        <f t="shared" si="11"/>
        <v>23.106462881373719</v>
      </c>
      <c r="E169">
        <v>11.245036389452762</v>
      </c>
      <c r="F169" t="s">
        <v>101</v>
      </c>
      <c r="G169">
        <f t="shared" si="12"/>
        <v>71.594281584682335</v>
      </c>
      <c r="H169">
        <v>42.437668399096651</v>
      </c>
      <c r="I169" t="s">
        <v>101</v>
      </c>
      <c r="J169">
        <f t="shared" si="13"/>
        <v>1698.0338730084263</v>
      </c>
      <c r="K169">
        <v>633.21476797869502</v>
      </c>
      <c r="L169" t="s">
        <v>101</v>
      </c>
      <c r="M169">
        <f t="shared" si="14"/>
        <v>15.604460002441819</v>
      </c>
      <c r="N169">
        <v>1.6010611247640638</v>
      </c>
    </row>
    <row r="170" spans="1:14" x14ac:dyDescent="0.3">
      <c r="A170" t="s">
        <v>140</v>
      </c>
      <c r="B170">
        <v>2.8</v>
      </c>
      <c r="C170" t="s">
        <v>102</v>
      </c>
      <c r="D170">
        <f t="shared" si="11"/>
        <v>55.074609812519604</v>
      </c>
      <c r="E170">
        <v>68.678953565316817</v>
      </c>
      <c r="F170" t="s">
        <v>102</v>
      </c>
      <c r="G170">
        <f t="shared" si="12"/>
        <v>114.4920646432201</v>
      </c>
      <c r="H170">
        <v>132.59346164159942</v>
      </c>
      <c r="I170" t="s">
        <v>102</v>
      </c>
      <c r="J170">
        <f t="shared" si="13"/>
        <v>12281.707946166955</v>
      </c>
      <c r="K170">
        <v>11386.039563652774</v>
      </c>
      <c r="L170" t="s">
        <v>102</v>
      </c>
      <c r="M170">
        <f t="shared" si="14"/>
        <v>6.0699523209160251</v>
      </c>
      <c r="N170">
        <v>1.9799006271674295</v>
      </c>
    </row>
    <row r="171" spans="1:14" x14ac:dyDescent="0.3">
      <c r="A171" t="s">
        <v>254</v>
      </c>
      <c r="B171">
        <v>0</v>
      </c>
      <c r="C171" t="s">
        <v>231</v>
      </c>
      <c r="D171">
        <f t="shared" si="11"/>
        <v>85.506141388259266</v>
      </c>
      <c r="E171">
        <v>12.693859260806889</v>
      </c>
      <c r="F171" t="s">
        <v>231</v>
      </c>
      <c r="G171">
        <f t="shared" si="12"/>
        <v>183.84211655333266</v>
      </c>
      <c r="H171">
        <v>28.501156725460131</v>
      </c>
      <c r="I171" t="s">
        <v>231</v>
      </c>
      <c r="J171">
        <f t="shared" si="13"/>
        <v>18130.529713554752</v>
      </c>
      <c r="K171">
        <v>79647.639098108208</v>
      </c>
      <c r="L171" t="s">
        <v>231</v>
      </c>
      <c r="M171">
        <f t="shared" si="14"/>
        <v>11.038498865086064</v>
      </c>
      <c r="N171">
        <v>1.3525527837053928</v>
      </c>
    </row>
    <row r="172" spans="1:14" x14ac:dyDescent="0.3">
      <c r="A172" t="s">
        <v>141</v>
      </c>
      <c r="B172">
        <v>0</v>
      </c>
      <c r="C172" t="s">
        <v>115</v>
      </c>
      <c r="D172">
        <f t="shared" si="11"/>
        <v>20.963658543577921</v>
      </c>
      <c r="E172">
        <v>43.284616772667668</v>
      </c>
      <c r="F172" t="s">
        <v>115</v>
      </c>
      <c r="G172">
        <f t="shared" si="12"/>
        <v>55.286796968766041</v>
      </c>
      <c r="H172">
        <v>109.81759967030018</v>
      </c>
      <c r="I172" t="s">
        <v>115</v>
      </c>
      <c r="J172">
        <f t="shared" si="13"/>
        <v>758.32913730188761</v>
      </c>
      <c r="K172">
        <v>4225.991024181023</v>
      </c>
      <c r="L172" t="s">
        <v>115</v>
      </c>
      <c r="M172">
        <f t="shared" si="14"/>
        <v>2.2742142469610815</v>
      </c>
      <c r="N172">
        <v>18.322742610429525</v>
      </c>
    </row>
    <row r="173" spans="1:14" x14ac:dyDescent="0.3">
      <c r="A173" t="s">
        <v>142</v>
      </c>
      <c r="B173">
        <v>4.3</v>
      </c>
      <c r="C173" t="s">
        <v>232</v>
      </c>
      <c r="D173">
        <f t="shared" si="11"/>
        <v>180.430012907963</v>
      </c>
      <c r="E173">
        <v>16.937354601113171</v>
      </c>
      <c r="F173" t="s">
        <v>232</v>
      </c>
      <c r="G173">
        <f t="shared" si="12"/>
        <v>323.70121999189973</v>
      </c>
      <c r="H173">
        <v>51.630734721706858</v>
      </c>
      <c r="I173" t="s">
        <v>232</v>
      </c>
      <c r="J173">
        <f t="shared" si="13"/>
        <v>86382.590049925246</v>
      </c>
      <c r="K173">
        <v>33701.892332278054</v>
      </c>
      <c r="L173" t="s">
        <v>232</v>
      </c>
      <c r="M173">
        <f t="shared" si="14"/>
        <v>24.607056245637025</v>
      </c>
      <c r="N173">
        <v>7.0348847828066123</v>
      </c>
    </row>
    <row r="174" spans="1:14" x14ac:dyDescent="0.3">
      <c r="A174" t="s">
        <v>253</v>
      </c>
      <c r="B174">
        <v>0</v>
      </c>
      <c r="C174" t="s">
        <v>120</v>
      </c>
      <c r="D174">
        <f t="shared" si="11"/>
        <v>0</v>
      </c>
      <c r="E174">
        <v>8.2511648671873896</v>
      </c>
      <c r="F174" t="s">
        <v>120</v>
      </c>
      <c r="G174">
        <f t="shared" si="12"/>
        <v>0</v>
      </c>
      <c r="H174">
        <v>30.717653506905556</v>
      </c>
      <c r="I174" t="s">
        <v>120</v>
      </c>
      <c r="J174">
        <f t="shared" si="13"/>
        <v>39451.822911732001</v>
      </c>
      <c r="K174">
        <v>647.93010850956705</v>
      </c>
      <c r="L174" t="s">
        <v>120</v>
      </c>
      <c r="M174">
        <f t="shared" si="14"/>
        <v>2.6840510619578799</v>
      </c>
      <c r="N174">
        <v>6.0505406202461725</v>
      </c>
    </row>
    <row r="175" spans="1:14" x14ac:dyDescent="0.3">
      <c r="A175" t="s">
        <v>143</v>
      </c>
      <c r="B175">
        <v>3.3</v>
      </c>
      <c r="C175" t="s">
        <v>121</v>
      </c>
      <c r="D175">
        <f t="shared" si="11"/>
        <v>91.493556132508374</v>
      </c>
      <c r="E175"/>
      <c r="F175" t="s">
        <v>121</v>
      </c>
      <c r="G175">
        <f t="shared" si="12"/>
        <v>181.39087235644979</v>
      </c>
      <c r="H175"/>
      <c r="I175" t="s">
        <v>121</v>
      </c>
      <c r="J175">
        <f t="shared" si="13"/>
        <v>24614.87346427939</v>
      </c>
      <c r="K175">
        <v>2138.7638371875655</v>
      </c>
      <c r="L175" t="s">
        <v>121</v>
      </c>
      <c r="M175">
        <f t="shared" si="14"/>
        <v>0.39386145591248456</v>
      </c>
      <c r="N175">
        <v>0.38419519791683565</v>
      </c>
    </row>
    <row r="176" spans="1:14" x14ac:dyDescent="0.3">
      <c r="A176" t="s">
        <v>144</v>
      </c>
      <c r="B176">
        <v>3.3</v>
      </c>
      <c r="C176" t="s">
        <v>119</v>
      </c>
      <c r="D176">
        <f t="shared" si="11"/>
        <v>83.438273731363154</v>
      </c>
      <c r="E176">
        <v>45.865809532357225</v>
      </c>
      <c r="F176" t="s">
        <v>119</v>
      </c>
      <c r="G176">
        <f t="shared" si="12"/>
        <v>160.15966930089999</v>
      </c>
      <c r="H176">
        <v>105.01953557985159</v>
      </c>
      <c r="I176" t="s">
        <v>119</v>
      </c>
      <c r="J176">
        <f t="shared" si="13"/>
        <v>32660.475358134645</v>
      </c>
      <c r="K176">
        <v>2609.444911479753</v>
      </c>
      <c r="L176" t="s">
        <v>119</v>
      </c>
      <c r="M176">
        <f t="shared" si="14"/>
        <v>2.0902880931483208</v>
      </c>
      <c r="N176">
        <v>6.2558119194242634</v>
      </c>
    </row>
    <row r="177" spans="1:14" x14ac:dyDescent="0.3">
      <c r="A177" t="s">
        <v>145</v>
      </c>
      <c r="B177">
        <v>2.8</v>
      </c>
      <c r="C177" t="s">
        <v>117</v>
      </c>
      <c r="D177">
        <f t="shared" si="11"/>
        <v>36.259306647857699</v>
      </c>
      <c r="E177">
        <v>87.486061289379535</v>
      </c>
      <c r="F177" t="s">
        <v>117</v>
      </c>
      <c r="G177">
        <f t="shared" si="12"/>
        <v>101.13453182576215</v>
      </c>
      <c r="H177">
        <v>165.03042947893266</v>
      </c>
      <c r="I177" t="s">
        <v>117</v>
      </c>
      <c r="J177">
        <f t="shared" si="13"/>
        <v>1882.6439414804188</v>
      </c>
      <c r="K177">
        <v>63515.603078001921</v>
      </c>
      <c r="L177" t="s">
        <v>117</v>
      </c>
      <c r="M177">
        <f t="shared" si="14"/>
        <v>5.2383075078818093</v>
      </c>
      <c r="N177">
        <v>-30.243073296559153</v>
      </c>
    </row>
    <row r="178" spans="1:14" x14ac:dyDescent="0.3">
      <c r="A178" t="s">
        <v>246</v>
      </c>
      <c r="B178">
        <v>2</v>
      </c>
      <c r="C178" t="s">
        <v>123</v>
      </c>
      <c r="D178">
        <f t="shared" si="11"/>
        <v>21.938309910567622</v>
      </c>
      <c r="E178">
        <v>46.404961770113225</v>
      </c>
      <c r="F178" t="s">
        <v>123</v>
      </c>
      <c r="G178">
        <f t="shared" si="12"/>
        <v>103.12100748311737</v>
      </c>
      <c r="H178">
        <v>77.401189583706014</v>
      </c>
      <c r="I178" t="s">
        <v>123</v>
      </c>
      <c r="J178">
        <f t="shared" si="13"/>
        <v>596.88598513558895</v>
      </c>
      <c r="K178">
        <v>90984.408714111094</v>
      </c>
      <c r="L178" t="s">
        <v>123</v>
      </c>
      <c r="M178">
        <f t="shared" si="14"/>
        <v>6.1735718196751233</v>
      </c>
      <c r="N178">
        <v>2.7449909379729833</v>
      </c>
    </row>
    <row r="179" spans="1:14" x14ac:dyDescent="0.3">
      <c r="A179" t="s">
        <v>146</v>
      </c>
      <c r="B179">
        <v>3.7</v>
      </c>
      <c r="C179" t="s">
        <v>116</v>
      </c>
      <c r="D179">
        <f t="shared" si="11"/>
        <v>33.253812755681558</v>
      </c>
      <c r="E179">
        <v>7.0059672808613609</v>
      </c>
      <c r="F179" t="s">
        <v>116</v>
      </c>
      <c r="G179">
        <f t="shared" si="12"/>
        <v>65.67987597407074</v>
      </c>
      <c r="H179">
        <v>41.570150293246741</v>
      </c>
      <c r="I179" t="s">
        <v>116</v>
      </c>
      <c r="J179">
        <f t="shared" si="13"/>
        <v>6034.2720896467317</v>
      </c>
      <c r="K179">
        <v>1382.3830089542373</v>
      </c>
      <c r="L179" t="s">
        <v>116</v>
      </c>
      <c r="M179">
        <f t="shared" si="14"/>
        <v>1.0127377916455982</v>
      </c>
      <c r="N179">
        <v>0.18227214989516968</v>
      </c>
    </row>
    <row r="180" spans="1:14" x14ac:dyDescent="0.3">
      <c r="A180" t="s">
        <v>248</v>
      </c>
      <c r="B180">
        <v>0</v>
      </c>
      <c r="C180" t="s">
        <v>233</v>
      </c>
      <c r="D180">
        <f t="shared" si="11"/>
        <v>0</v>
      </c>
      <c r="E180">
        <v>40.833333333333336</v>
      </c>
      <c r="F180" t="s">
        <v>233</v>
      </c>
      <c r="G180">
        <f t="shared" si="12"/>
        <v>0</v>
      </c>
      <c r="H180">
        <v>135</v>
      </c>
      <c r="I180" t="s">
        <v>233</v>
      </c>
      <c r="J180">
        <f t="shared" si="13"/>
        <v>0</v>
      </c>
      <c r="K180">
        <v>13602.637211289339</v>
      </c>
      <c r="L180" t="s">
        <v>233</v>
      </c>
      <c r="M180">
        <f t="shared" si="14"/>
        <v>0</v>
      </c>
      <c r="N180">
        <v>0.89536494870717742</v>
      </c>
    </row>
    <row r="181" spans="1:14" x14ac:dyDescent="0.3">
      <c r="A181" t="s">
        <v>147</v>
      </c>
      <c r="B181">
        <v>3.9</v>
      </c>
      <c r="C181" t="s">
        <v>118</v>
      </c>
      <c r="D181">
        <f t="shared" si="11"/>
        <v>37.816647649391328</v>
      </c>
      <c r="E181">
        <v>23.630310071020517</v>
      </c>
      <c r="F181" t="s">
        <v>118</v>
      </c>
      <c r="G181">
        <f t="shared" si="12"/>
        <v>71.79763660557326</v>
      </c>
      <c r="H181">
        <v>49.865504149849691</v>
      </c>
      <c r="I181" t="s">
        <v>118</v>
      </c>
      <c r="J181">
        <f t="shared" si="13"/>
        <v>33493.222540911127</v>
      </c>
      <c r="K181">
        <v>49302.341876493003</v>
      </c>
      <c r="L181" t="s">
        <v>118</v>
      </c>
      <c r="M181">
        <f t="shared" si="14"/>
        <v>2.8998156531689334</v>
      </c>
      <c r="N181">
        <v>1.714263785345409</v>
      </c>
    </row>
    <row r="182" spans="1:14" x14ac:dyDescent="0.3">
      <c r="A182" t="s">
        <v>148</v>
      </c>
      <c r="B182">
        <v>2.8</v>
      </c>
      <c r="C182" t="s">
        <v>234</v>
      </c>
      <c r="D182">
        <f t="shared" si="11"/>
        <v>20.599528367211203</v>
      </c>
      <c r="E182">
        <v>28.63041534841339</v>
      </c>
      <c r="F182" t="s">
        <v>234</v>
      </c>
      <c r="G182">
        <f t="shared" si="12"/>
        <v>43.347668119513415</v>
      </c>
      <c r="H182">
        <v>58.087210926064273</v>
      </c>
      <c r="I182" t="s">
        <v>234</v>
      </c>
      <c r="J182">
        <f t="shared" si="13"/>
        <v>3815.4153176747432</v>
      </c>
      <c r="K182">
        <v>47135.613723206538</v>
      </c>
      <c r="L182" t="s">
        <v>234</v>
      </c>
      <c r="M182">
        <f t="shared" si="14"/>
        <v>0.84801707679671712</v>
      </c>
      <c r="N182">
        <v>0.35743119402951234</v>
      </c>
    </row>
    <row r="183" spans="1:14" x14ac:dyDescent="0.3">
      <c r="A183" t="s">
        <v>213</v>
      </c>
      <c r="B183">
        <v>0</v>
      </c>
      <c r="C183" t="s">
        <v>124</v>
      </c>
      <c r="D183">
        <f t="shared" si="11"/>
        <v>0</v>
      </c>
      <c r="E183">
        <v>61.58434279892078</v>
      </c>
      <c r="F183" t="s">
        <v>124</v>
      </c>
      <c r="G183">
        <f t="shared" si="12"/>
        <v>0</v>
      </c>
      <c r="H183">
        <v>106.44673110260412</v>
      </c>
      <c r="I183" t="s">
        <v>124</v>
      </c>
      <c r="J183">
        <f t="shared" si="13"/>
        <v>22576.924843916589</v>
      </c>
      <c r="K183">
        <v>21027.738457265739</v>
      </c>
      <c r="L183" t="s">
        <v>124</v>
      </c>
      <c r="M183">
        <f t="shared" si="14"/>
        <v>2.8260399051314531</v>
      </c>
      <c r="N183">
        <v>11.815792912822866</v>
      </c>
    </row>
    <row r="184" spans="1:14" x14ac:dyDescent="0.3">
      <c r="A184" t="s">
        <v>215</v>
      </c>
      <c r="B184">
        <v>0</v>
      </c>
      <c r="C184" t="s">
        <v>235</v>
      </c>
      <c r="D184">
        <f t="shared" si="11"/>
        <v>0</v>
      </c>
      <c r="E184">
        <v>77.939417896102341</v>
      </c>
      <c r="F184" t="s">
        <v>235</v>
      </c>
      <c r="G184">
        <f t="shared" si="12"/>
        <v>0</v>
      </c>
      <c r="H184">
        <v>152.14210531855807</v>
      </c>
      <c r="I184" t="s">
        <v>235</v>
      </c>
      <c r="J184">
        <f t="shared" si="13"/>
        <v>13616.639759373396</v>
      </c>
      <c r="K184">
        <v>15346.648892494894</v>
      </c>
      <c r="L184" t="s">
        <v>235</v>
      </c>
      <c r="M184">
        <f t="shared" si="14"/>
        <v>8.3184807324695775</v>
      </c>
      <c r="N184">
        <v>6.1973130476729654</v>
      </c>
    </row>
    <row r="185" spans="1:14" x14ac:dyDescent="0.3">
      <c r="A185" t="s">
        <v>224</v>
      </c>
      <c r="B185">
        <v>0</v>
      </c>
      <c r="C185" t="s">
        <v>125</v>
      </c>
      <c r="D185">
        <f t="shared" si="11"/>
        <v>0</v>
      </c>
      <c r="E185">
        <v>10.493958751156445</v>
      </c>
      <c r="F185" t="s">
        <v>125</v>
      </c>
      <c r="G185">
        <f t="shared" si="12"/>
        <v>0</v>
      </c>
      <c r="H185">
        <v>28.467692546983692</v>
      </c>
      <c r="I185" t="s">
        <v>125</v>
      </c>
      <c r="J185">
        <f t="shared" si="13"/>
        <v>0</v>
      </c>
      <c r="K185">
        <v>1360.3241775841927</v>
      </c>
      <c r="L185" t="s">
        <v>125</v>
      </c>
      <c r="M185">
        <f t="shared" si="14"/>
        <v>0</v>
      </c>
      <c r="N185">
        <v>0.60828127082062422</v>
      </c>
    </row>
    <row r="186" spans="1:14" x14ac:dyDescent="0.3">
      <c r="A186" t="s">
        <v>265</v>
      </c>
      <c r="B186">
        <v>0</v>
      </c>
      <c r="C186" t="s">
        <v>126</v>
      </c>
      <c r="D186">
        <f t="shared" si="11"/>
        <v>0</v>
      </c>
      <c r="E186">
        <v>45.629244002545349</v>
      </c>
      <c r="F186" t="s">
        <v>126</v>
      </c>
      <c r="G186">
        <f t="shared" si="12"/>
        <v>0</v>
      </c>
      <c r="H186">
        <v>88.348910516979515</v>
      </c>
      <c r="I186" t="s">
        <v>126</v>
      </c>
      <c r="J186">
        <f t="shared" si="13"/>
        <v>10582.365672522892</v>
      </c>
      <c r="K186">
        <v>18797.193389461059</v>
      </c>
      <c r="L186" t="s">
        <v>126</v>
      </c>
      <c r="M186">
        <f t="shared" si="14"/>
        <v>6.8861246476732543</v>
      </c>
      <c r="N186">
        <v>3.2638431272317407</v>
      </c>
    </row>
    <row r="187" spans="1:14" x14ac:dyDescent="0.3">
      <c r="A187" t="s">
        <v>149</v>
      </c>
      <c r="B187">
        <v>2.4</v>
      </c>
      <c r="C187" t="s">
        <v>129</v>
      </c>
      <c r="D187">
        <f t="shared" si="11"/>
        <v>1.10810859308483</v>
      </c>
      <c r="E187">
        <v>27.17016181352329</v>
      </c>
      <c r="F187" t="s">
        <v>129</v>
      </c>
      <c r="G187">
        <f t="shared" si="12"/>
        <v>2.4737287826766519</v>
      </c>
      <c r="H187">
        <v>50.90703072134928</v>
      </c>
      <c r="I187" t="s">
        <v>129</v>
      </c>
      <c r="J187">
        <f t="shared" si="13"/>
        <v>797.283447265625</v>
      </c>
      <c r="K187">
        <v>7919.0463482854739</v>
      </c>
      <c r="L187" t="s">
        <v>129</v>
      </c>
      <c r="M187">
        <f t="shared" si="14"/>
        <v>1.3739937287093376</v>
      </c>
      <c r="N187">
        <v>1.6433496097335278</v>
      </c>
    </row>
    <row r="188" spans="1:14" x14ac:dyDescent="0.3">
      <c r="A188" t="s">
        <v>251</v>
      </c>
      <c r="B188">
        <v>0</v>
      </c>
      <c r="C188" t="s">
        <v>130</v>
      </c>
      <c r="D188">
        <f t="shared" si="11"/>
        <v>0</v>
      </c>
      <c r="E188">
        <v>26.636849347058483</v>
      </c>
      <c r="F188" t="s">
        <v>130</v>
      </c>
      <c r="G188">
        <f t="shared" si="12"/>
        <v>0</v>
      </c>
      <c r="H188">
        <v>67.41996931716065</v>
      </c>
      <c r="I188" t="s">
        <v>130</v>
      </c>
      <c r="J188">
        <f t="shared" si="13"/>
        <v>5521.97602122638</v>
      </c>
      <c r="K188">
        <v>3804.0827413171801</v>
      </c>
      <c r="L188" t="s">
        <v>130</v>
      </c>
      <c r="M188">
        <f t="shared" si="14"/>
        <v>13.944090027514248</v>
      </c>
      <c r="N188">
        <v>2.0421035482033609</v>
      </c>
    </row>
    <row r="189" spans="1:14" x14ac:dyDescent="0.3">
      <c r="A189" t="s">
        <v>150</v>
      </c>
      <c r="B189">
        <v>4</v>
      </c>
      <c r="C189" t="s">
        <v>236</v>
      </c>
      <c r="D189">
        <f t="shared" si="11"/>
        <v>55.195877970180632</v>
      </c>
      <c r="E189">
        <v>26.141030407554855</v>
      </c>
      <c r="F189" t="s">
        <v>236</v>
      </c>
      <c r="G189">
        <f t="shared" si="12"/>
        <v>107.61970944397427</v>
      </c>
      <c r="H189">
        <v>106.75762354915305</v>
      </c>
      <c r="I189" t="s">
        <v>236</v>
      </c>
      <c r="J189">
        <f t="shared" si="13"/>
        <v>54950.283472562231</v>
      </c>
      <c r="K189">
        <v>15578.349763073278</v>
      </c>
      <c r="L189" t="s">
        <v>236</v>
      </c>
      <c r="M189">
        <f t="shared" si="14"/>
        <v>3.2251236900295623</v>
      </c>
      <c r="N189">
        <v>28.930964077665401</v>
      </c>
    </row>
    <row r="190" spans="1:14" x14ac:dyDescent="0.3">
      <c r="A190" t="s">
        <v>151</v>
      </c>
      <c r="B190">
        <v>4.0999999999999996</v>
      </c>
      <c r="C190" t="s">
        <v>127</v>
      </c>
      <c r="D190">
        <f t="shared" si="11"/>
        <v>70.318738165455727</v>
      </c>
      <c r="E190"/>
      <c r="F190" t="s">
        <v>127</v>
      </c>
      <c r="G190">
        <f t="shared" si="12"/>
        <v>129.73719454839997</v>
      </c>
      <c r="H190"/>
      <c r="I190" t="s">
        <v>127</v>
      </c>
      <c r="J190">
        <f t="shared" si="13"/>
        <v>104449.75451771976</v>
      </c>
      <c r="K190">
        <v>2966.064550453335</v>
      </c>
      <c r="L190" t="s">
        <v>127</v>
      </c>
      <c r="M190">
        <f t="shared" si="14"/>
        <v>-12.435827337439996</v>
      </c>
      <c r="N190">
        <v>0.14051995460890285</v>
      </c>
    </row>
    <row r="191" spans="1:14" x14ac:dyDescent="0.3">
      <c r="A191" t="s">
        <v>152</v>
      </c>
      <c r="B191">
        <v>2.2999999999999998</v>
      </c>
      <c r="C191" t="s">
        <v>131</v>
      </c>
      <c r="D191">
        <f t="shared" si="11"/>
        <v>0</v>
      </c>
      <c r="E191">
        <v>57.881271019543377</v>
      </c>
      <c r="F191" t="s">
        <v>131</v>
      </c>
      <c r="G191">
        <f t="shared" si="12"/>
        <v>0</v>
      </c>
      <c r="H191">
        <v>110.0249350418151</v>
      </c>
      <c r="I191" t="s">
        <v>131</v>
      </c>
      <c r="J191">
        <f t="shared" si="13"/>
        <v>0</v>
      </c>
      <c r="K191">
        <v>22145.266064742871</v>
      </c>
      <c r="L191" t="s">
        <v>131</v>
      </c>
      <c r="M191">
        <f t="shared" si="14"/>
        <v>0</v>
      </c>
      <c r="N191">
        <v>4.3891867339054498</v>
      </c>
    </row>
    <row r="192" spans="1:14" x14ac:dyDescent="0.3">
      <c r="A192" t="s">
        <v>153</v>
      </c>
      <c r="B192">
        <v>2.5</v>
      </c>
      <c r="C192" t="s">
        <v>237</v>
      </c>
      <c r="D192">
        <f t="shared" si="11"/>
        <v>17.191837460141492</v>
      </c>
      <c r="E192">
        <v>25.368177069652869</v>
      </c>
      <c r="F192" t="s">
        <v>237</v>
      </c>
      <c r="G192">
        <f t="shared" si="12"/>
        <v>65.63470103673535</v>
      </c>
      <c r="H192"/>
      <c r="I192" t="s">
        <v>237</v>
      </c>
      <c r="J192">
        <f t="shared" si="13"/>
        <v>1178.4799006024875</v>
      </c>
      <c r="K192">
        <v>1559.3661592861936</v>
      </c>
      <c r="L192" t="s">
        <v>237</v>
      </c>
      <c r="M192">
        <f t="shared" si="14"/>
        <v>1.148136988833917</v>
      </c>
      <c r="N192">
        <v>1.3553866280950795</v>
      </c>
    </row>
    <row r="193" spans="1:14" x14ac:dyDescent="0.3">
      <c r="A193" t="s">
        <v>154</v>
      </c>
      <c r="B193">
        <v>0</v>
      </c>
      <c r="C193" t="s">
        <v>238</v>
      </c>
      <c r="D193">
        <f t="shared" si="11"/>
        <v>17.195429876275451</v>
      </c>
      <c r="E193">
        <v>53.644807784964875</v>
      </c>
      <c r="F193" t="s">
        <v>238</v>
      </c>
      <c r="G193">
        <f t="shared" si="12"/>
        <v>38.212034806338956</v>
      </c>
      <c r="H193">
        <v>101.65755095167714</v>
      </c>
      <c r="I193" t="s">
        <v>238</v>
      </c>
      <c r="J193">
        <f t="shared" si="13"/>
        <v>1224.00219726563</v>
      </c>
      <c r="K193">
        <v>36980.765392806781</v>
      </c>
      <c r="L193" t="s">
        <v>238</v>
      </c>
      <c r="M193">
        <f t="shared" si="14"/>
        <v>2.086415709229267</v>
      </c>
      <c r="N193"/>
    </row>
    <row r="194" spans="1:14" x14ac:dyDescent="0.3">
      <c r="A194" t="s">
        <v>155</v>
      </c>
      <c r="B194">
        <v>3.5</v>
      </c>
      <c r="C194" t="s">
        <v>239</v>
      </c>
      <c r="D194">
        <f t="shared" ref="D194:D218" si="15">_xlfn.XLOOKUP(A194,C:C,E:E,"")</f>
        <v>65.513588274501743</v>
      </c>
      <c r="E194"/>
      <c r="F194" t="s">
        <v>239</v>
      </c>
      <c r="G194">
        <f t="shared" si="12"/>
        <v>128.79235969016511</v>
      </c>
      <c r="H194"/>
      <c r="I194" t="s">
        <v>239</v>
      </c>
      <c r="J194">
        <f t="shared" si="13"/>
        <v>7210.541308326855</v>
      </c>
      <c r="K194"/>
      <c r="L194" t="s">
        <v>239</v>
      </c>
      <c r="M194">
        <f t="shared" si="14"/>
        <v>1.9975474592023996</v>
      </c>
      <c r="N194"/>
    </row>
    <row r="195" spans="1:14" x14ac:dyDescent="0.3">
      <c r="A195" t="s">
        <v>156</v>
      </c>
      <c r="B195">
        <v>0</v>
      </c>
      <c r="C195" t="s">
        <v>132</v>
      </c>
      <c r="D195">
        <f t="shared" si="15"/>
        <v>22.923094469419464</v>
      </c>
      <c r="E195">
        <v>47.15547693148816</v>
      </c>
      <c r="F195" t="s">
        <v>132</v>
      </c>
      <c r="G195">
        <f t="shared" si="12"/>
        <v>89.30464909726436</v>
      </c>
      <c r="H195">
        <v>93.135853707203836</v>
      </c>
      <c r="I195" t="s">
        <v>132</v>
      </c>
      <c r="J195">
        <f t="shared" si="13"/>
        <v>1502.4114958902999</v>
      </c>
      <c r="K195">
        <v>27634.618313977298</v>
      </c>
      <c r="L195" t="s">
        <v>132</v>
      </c>
      <c r="M195">
        <f t="shared" si="14"/>
        <v>5.8749926073195606</v>
      </c>
      <c r="N195">
        <v>3.963254287431238</v>
      </c>
    </row>
    <row r="196" spans="1:14" x14ac:dyDescent="0.3">
      <c r="A196" t="s">
        <v>157</v>
      </c>
      <c r="B196">
        <v>2.5</v>
      </c>
      <c r="C196" t="s">
        <v>128</v>
      </c>
      <c r="D196">
        <f t="shared" si="15"/>
        <v>24.582051795057868</v>
      </c>
      <c r="E196">
        <v>42.257662716231025</v>
      </c>
      <c r="F196" t="s">
        <v>128</v>
      </c>
      <c r="G196">
        <f t="shared" si="12"/>
        <v>59.929177701742667</v>
      </c>
      <c r="H196">
        <v>82.57772522965162</v>
      </c>
      <c r="I196" t="s">
        <v>128</v>
      </c>
      <c r="J196">
        <f t="shared" si="13"/>
        <v>1182.3295143669632</v>
      </c>
      <c r="K196">
        <v>6303.2649501729247</v>
      </c>
      <c r="L196" t="s">
        <v>128</v>
      </c>
      <c r="M196">
        <f t="shared" si="14"/>
        <v>0.8200601161179224</v>
      </c>
      <c r="N196">
        <v>2.5770019137044304</v>
      </c>
    </row>
    <row r="197" spans="1:14" x14ac:dyDescent="0.3">
      <c r="A197" t="s">
        <v>260</v>
      </c>
      <c r="B197">
        <v>0</v>
      </c>
      <c r="C197" t="s">
        <v>240</v>
      </c>
      <c r="D197">
        <f t="shared" si="15"/>
        <v>14.744021089237149</v>
      </c>
      <c r="E197">
        <v>16.995884111166561</v>
      </c>
      <c r="F197" t="s">
        <v>240</v>
      </c>
      <c r="G197">
        <f t="shared" si="12"/>
        <v>79.623925700007874</v>
      </c>
      <c r="H197">
        <v>76.173457614930967</v>
      </c>
      <c r="I197" t="s">
        <v>240</v>
      </c>
      <c r="J197">
        <f t="shared" si="13"/>
        <v>5651.593579392862</v>
      </c>
      <c r="K197">
        <v>3607.4161185882081</v>
      </c>
      <c r="L197" t="s">
        <v>240</v>
      </c>
      <c r="M197">
        <f t="shared" si="14"/>
        <v>0.44357393519288008</v>
      </c>
      <c r="N197">
        <v>0.55559328357076165</v>
      </c>
    </row>
    <row r="198" spans="1:14" x14ac:dyDescent="0.3">
      <c r="A198" t="s">
        <v>158</v>
      </c>
      <c r="B198">
        <v>2.5</v>
      </c>
      <c r="C198" t="s">
        <v>241</v>
      </c>
      <c r="D198">
        <f t="shared" si="15"/>
        <v>0</v>
      </c>
      <c r="E198">
        <v>42.045756710302406</v>
      </c>
      <c r="F198" t="s">
        <v>241</v>
      </c>
      <c r="G198">
        <f t="shared" ref="G198:G218" si="16">_xlfn.XLOOKUP(A198,F:F,H:H,"")</f>
        <v>0</v>
      </c>
      <c r="H198">
        <v>109.83014808736148</v>
      </c>
      <c r="I198" t="s">
        <v>241</v>
      </c>
      <c r="J198">
        <f t="shared" ref="J198:J218" si="17">_xlfn.XLOOKUP(A198,I:I,K:K,"")</f>
        <v>18308.453629857464</v>
      </c>
      <c r="K198">
        <v>4199.6494807719173</v>
      </c>
      <c r="L198" t="s">
        <v>241</v>
      </c>
      <c r="M198">
        <f t="shared" ref="M198:M218" si="18">_xlfn.XLOOKUP(A198,L:L,N:N,"")</f>
        <v>-5.9848645870779098</v>
      </c>
      <c r="N198">
        <v>2.5760202667694685</v>
      </c>
    </row>
    <row r="199" spans="1:14" x14ac:dyDescent="0.3">
      <c r="A199" t="s">
        <v>159</v>
      </c>
      <c r="B199">
        <v>0</v>
      </c>
      <c r="C199" t="s">
        <v>242</v>
      </c>
      <c r="D199">
        <f t="shared" si="15"/>
        <v>53.039393911060827</v>
      </c>
      <c r="E199">
        <v>29.14986305943728</v>
      </c>
      <c r="F199" t="s">
        <v>242</v>
      </c>
      <c r="G199">
        <f t="shared" si="16"/>
        <v>112.12885801335437</v>
      </c>
      <c r="H199">
        <v>59.858901244517419</v>
      </c>
      <c r="I199" t="s">
        <v>242</v>
      </c>
      <c r="J199">
        <f t="shared" si="17"/>
        <v>3951.1168337692147</v>
      </c>
      <c r="K199">
        <v>54507.215471012823</v>
      </c>
      <c r="L199" t="s">
        <v>242</v>
      </c>
      <c r="M199">
        <f t="shared" si="18"/>
        <v>1.4635133384422858</v>
      </c>
      <c r="N199">
        <v>0.85304479003170763</v>
      </c>
    </row>
    <row r="200" spans="1:14" x14ac:dyDescent="0.3">
      <c r="A200" t="s">
        <v>160</v>
      </c>
      <c r="B200">
        <v>3.4</v>
      </c>
      <c r="C200" t="s">
        <v>243</v>
      </c>
      <c r="D200">
        <f t="shared" si="15"/>
        <v>31.913592680972396</v>
      </c>
      <c r="E200">
        <v>24.067921742340349</v>
      </c>
      <c r="F200" t="s">
        <v>243</v>
      </c>
      <c r="G200">
        <f t="shared" si="16"/>
        <v>65.683208473866685</v>
      </c>
      <c r="H200">
        <v>71.67220376522701</v>
      </c>
      <c r="I200" t="s">
        <v>243</v>
      </c>
      <c r="J200">
        <f t="shared" si="17"/>
        <v>13375.094728286429</v>
      </c>
      <c r="K200">
        <v>21832.283179556853</v>
      </c>
      <c r="L200" t="s">
        <v>243</v>
      </c>
      <c r="M200">
        <f t="shared" si="18"/>
        <v>0.93380649553491246</v>
      </c>
      <c r="N200">
        <v>-0.10584301862624733</v>
      </c>
    </row>
    <row r="201" spans="1:14" x14ac:dyDescent="0.3">
      <c r="A201" t="s">
        <v>161</v>
      </c>
      <c r="B201">
        <v>0</v>
      </c>
      <c r="C201" t="s">
        <v>133</v>
      </c>
      <c r="D201">
        <f t="shared" si="15"/>
        <v>21.675320258474095</v>
      </c>
      <c r="E201"/>
      <c r="F201" t="s">
        <v>133</v>
      </c>
      <c r="G201">
        <f t="shared" si="16"/>
        <v>34.179403554018819</v>
      </c>
      <c r="H201"/>
      <c r="I201" t="s">
        <v>133</v>
      </c>
      <c r="J201">
        <f t="shared" si="17"/>
        <v>5298.4642194927619</v>
      </c>
      <c r="K201">
        <v>80195.874650854865</v>
      </c>
      <c r="L201" t="s">
        <v>133</v>
      </c>
      <c r="M201">
        <f t="shared" si="18"/>
        <v>3.5323029686693119</v>
      </c>
      <c r="N201">
        <v>-0.22261482167470653</v>
      </c>
    </row>
    <row r="202" spans="1:14" x14ac:dyDescent="0.3">
      <c r="A202" t="s">
        <v>255</v>
      </c>
      <c r="B202">
        <v>0</v>
      </c>
      <c r="C202" t="s">
        <v>134</v>
      </c>
      <c r="D202">
        <f t="shared" si="15"/>
        <v>0</v>
      </c>
      <c r="E202">
        <v>39.24459754628856</v>
      </c>
      <c r="F202" t="s">
        <v>134</v>
      </c>
      <c r="G202">
        <f t="shared" si="16"/>
        <v>0</v>
      </c>
      <c r="H202">
        <v>83.375332406223137</v>
      </c>
      <c r="I202" t="s">
        <v>134</v>
      </c>
      <c r="J202">
        <f t="shared" si="17"/>
        <v>35470.215160829473</v>
      </c>
      <c r="K202">
        <v>18244.418687632093</v>
      </c>
      <c r="L202" t="s">
        <v>134</v>
      </c>
      <c r="M202">
        <f t="shared" si="18"/>
        <v>1.9930741895935258</v>
      </c>
      <c r="N202">
        <v>2.5042686065484152</v>
      </c>
    </row>
    <row r="203" spans="1:14" x14ac:dyDescent="0.3">
      <c r="A203" t="s">
        <v>263</v>
      </c>
      <c r="B203">
        <v>0</v>
      </c>
      <c r="C203" t="s">
        <v>135</v>
      </c>
      <c r="D203">
        <f t="shared" si="15"/>
        <v>0</v>
      </c>
      <c r="E203">
        <v>22.769939314029696</v>
      </c>
      <c r="F203" t="s">
        <v>135</v>
      </c>
      <c r="G203">
        <f t="shared" si="16"/>
        <v>0</v>
      </c>
      <c r="H203">
        <v>41.339511649293293</v>
      </c>
      <c r="I203" t="s">
        <v>135</v>
      </c>
      <c r="J203">
        <f t="shared" si="17"/>
        <v>5143.8397437225985</v>
      </c>
      <c r="K203">
        <v>13986.9951171875</v>
      </c>
      <c r="L203" t="s">
        <v>135</v>
      </c>
      <c r="M203">
        <f t="shared" si="18"/>
        <v>0.32933975182894737</v>
      </c>
      <c r="N203">
        <v>-0.49089549082894079</v>
      </c>
    </row>
    <row r="204" spans="1:14" x14ac:dyDescent="0.3">
      <c r="A204" t="s">
        <v>162</v>
      </c>
      <c r="B204">
        <v>0</v>
      </c>
      <c r="C204" t="s">
        <v>136</v>
      </c>
      <c r="D204">
        <f t="shared" si="15"/>
        <v>11.601708925549934</v>
      </c>
      <c r="E204">
        <v>23.700606027817663</v>
      </c>
      <c r="F204" t="s">
        <v>136</v>
      </c>
      <c r="G204">
        <f t="shared" si="16"/>
        <v>33.341696330221929</v>
      </c>
      <c r="H204">
        <v>66.892583933947179</v>
      </c>
      <c r="I204" t="s">
        <v>136</v>
      </c>
      <c r="J204">
        <f t="shared" si="17"/>
        <v>1002.3091391714248</v>
      </c>
      <c r="K204">
        <v>1061.0578815407637</v>
      </c>
      <c r="L204" t="s">
        <v>136</v>
      </c>
      <c r="M204">
        <f t="shared" si="18"/>
        <v>6.1381650191359398</v>
      </c>
      <c r="N204">
        <v>3.0908314495854063</v>
      </c>
    </row>
    <row r="205" spans="1:14" x14ac:dyDescent="0.3">
      <c r="A205" t="s">
        <v>163</v>
      </c>
      <c r="B205">
        <v>2.7</v>
      </c>
      <c r="C205" t="s">
        <v>244</v>
      </c>
      <c r="D205">
        <f t="shared" si="15"/>
        <v>28.30046827372702</v>
      </c>
      <c r="E205">
        <v>21.264615894021137</v>
      </c>
      <c r="F205" t="s">
        <v>244</v>
      </c>
      <c r="G205">
        <f t="shared" si="16"/>
        <v>77.50961419356571</v>
      </c>
      <c r="H205">
        <v>45.129712221689942</v>
      </c>
      <c r="I205" t="s">
        <v>244</v>
      </c>
      <c r="J205">
        <f t="shared" si="17"/>
        <v>5139.59814453125</v>
      </c>
      <c r="K205">
        <v>2449.857142450996</v>
      </c>
      <c r="L205" t="s">
        <v>244</v>
      </c>
      <c r="M205">
        <f t="shared" si="18"/>
        <v>2.5228792109066425</v>
      </c>
      <c r="N205">
        <v>0.76402916443697988</v>
      </c>
    </row>
    <row r="206" spans="1:14" x14ac:dyDescent="0.3">
      <c r="A206" t="s">
        <v>164</v>
      </c>
      <c r="B206">
        <v>4</v>
      </c>
      <c r="C206" t="s">
        <v>138</v>
      </c>
      <c r="D206">
        <f t="shared" si="15"/>
        <v>106.84612339095348</v>
      </c>
      <c r="E206">
        <v>30.755961067844162</v>
      </c>
      <c r="F206" t="s">
        <v>138</v>
      </c>
      <c r="G206">
        <f t="shared" si="16"/>
        <v>199.0449501271066</v>
      </c>
      <c r="H206">
        <v>55.797468232548667</v>
      </c>
      <c r="I206" t="s">
        <v>138</v>
      </c>
      <c r="J206">
        <f t="shared" si="17"/>
        <v>49850.694508208428</v>
      </c>
      <c r="K206">
        <v>36156.856250017248</v>
      </c>
      <c r="L206" t="s">
        <v>138</v>
      </c>
      <c r="M206">
        <f t="shared" si="18"/>
        <v>5.8718398356489869</v>
      </c>
      <c r="N206">
        <v>1.8713099129894613</v>
      </c>
    </row>
    <row r="207" spans="1:14" x14ac:dyDescent="0.3">
      <c r="A207" t="s">
        <v>165</v>
      </c>
      <c r="B207">
        <v>3.7</v>
      </c>
      <c r="C207" t="s">
        <v>149</v>
      </c>
      <c r="D207">
        <f t="shared" si="15"/>
        <v>31.912269762993773</v>
      </c>
      <c r="E207">
        <v>1.10810859308483</v>
      </c>
      <c r="F207" t="s">
        <v>149</v>
      </c>
      <c r="G207">
        <f t="shared" si="16"/>
        <v>64.992384174780284</v>
      </c>
      <c r="H207">
        <v>2.4737287826766519</v>
      </c>
      <c r="I207" t="s">
        <v>149</v>
      </c>
      <c r="J207">
        <f t="shared" si="17"/>
        <v>49919.689662158606</v>
      </c>
      <c r="K207">
        <v>797.283447265625</v>
      </c>
      <c r="L207" t="s">
        <v>149</v>
      </c>
      <c r="M207">
        <f t="shared" si="18"/>
        <v>0.40311673483679261</v>
      </c>
      <c r="N207">
        <v>1.3739937287093376</v>
      </c>
    </row>
    <row r="208" spans="1:14" x14ac:dyDescent="0.3">
      <c r="A208" t="s">
        <v>166</v>
      </c>
      <c r="B208">
        <v>3.8</v>
      </c>
      <c r="C208" t="s">
        <v>139</v>
      </c>
      <c r="D208">
        <f t="shared" si="15"/>
        <v>11.050673719092705</v>
      </c>
      <c r="E208">
        <v>23.106462881373719</v>
      </c>
      <c r="F208" t="s">
        <v>139</v>
      </c>
      <c r="G208">
        <f t="shared" si="16"/>
        <v>24.929298175284721</v>
      </c>
      <c r="H208">
        <v>71.594281584682335</v>
      </c>
      <c r="I208" t="s">
        <v>139</v>
      </c>
      <c r="J208">
        <f t="shared" si="17"/>
        <v>82586.784770789425</v>
      </c>
      <c r="K208">
        <v>1698.0338730084263</v>
      </c>
      <c r="L208" t="s">
        <v>139</v>
      </c>
      <c r="M208">
        <f t="shared" si="18"/>
        <v>1.3014176824658648</v>
      </c>
      <c r="N208">
        <v>15.604460002441819</v>
      </c>
    </row>
    <row r="209" spans="1:14" x14ac:dyDescent="0.3">
      <c r="A209" t="s">
        <v>167</v>
      </c>
      <c r="B209">
        <v>3</v>
      </c>
      <c r="C209" t="s">
        <v>142</v>
      </c>
      <c r="D209">
        <f t="shared" si="15"/>
        <v>27.981248656588381</v>
      </c>
      <c r="E209">
        <v>180.430012907963</v>
      </c>
      <c r="F209" t="s">
        <v>142</v>
      </c>
      <c r="G209">
        <f t="shared" si="16"/>
        <v>52.327310838701834</v>
      </c>
      <c r="H209">
        <v>323.70121999189973</v>
      </c>
      <c r="I209" t="s">
        <v>142</v>
      </c>
      <c r="J209">
        <f t="shared" si="17"/>
        <v>23378.639973351612</v>
      </c>
      <c r="K209">
        <v>86382.590049925246</v>
      </c>
      <c r="L209" t="s">
        <v>142</v>
      </c>
      <c r="M209">
        <f t="shared" si="18"/>
        <v>-6.6256474617616092</v>
      </c>
      <c r="N209">
        <v>24.607056245637025</v>
      </c>
    </row>
    <row r="210" spans="1:14" x14ac:dyDescent="0.3">
      <c r="A210" t="s">
        <v>168</v>
      </c>
      <c r="B210">
        <v>2.6</v>
      </c>
      <c r="C210" t="s">
        <v>145</v>
      </c>
      <c r="D210">
        <f t="shared" si="15"/>
        <v>23.315232191522163</v>
      </c>
      <c r="E210">
        <v>36.259306647857699</v>
      </c>
      <c r="F210" t="s">
        <v>145</v>
      </c>
      <c r="G210">
        <f t="shared" si="16"/>
        <v>63.10219430490497</v>
      </c>
      <c r="H210">
        <v>101.13453182576215</v>
      </c>
      <c r="I210" t="s">
        <v>145</v>
      </c>
      <c r="J210">
        <f t="shared" si="17"/>
        <v>3015.9770506945738</v>
      </c>
      <c r="K210">
        <v>1882.6439414804188</v>
      </c>
      <c r="L210" t="s">
        <v>145</v>
      </c>
      <c r="M210">
        <f t="shared" si="18"/>
        <v>2.0054127330605027</v>
      </c>
      <c r="N210">
        <v>5.2383075078818093</v>
      </c>
    </row>
    <row r="211" spans="1:14" x14ac:dyDescent="0.3">
      <c r="A211" t="s">
        <v>268</v>
      </c>
      <c r="B211">
        <v>0</v>
      </c>
      <c r="C211" t="s">
        <v>141</v>
      </c>
      <c r="D211">
        <f t="shared" si="15"/>
        <v>28.37014739757776</v>
      </c>
      <c r="E211">
        <v>20.963658543577921</v>
      </c>
      <c r="F211" t="s">
        <v>141</v>
      </c>
      <c r="G211">
        <f t="shared" si="16"/>
        <v>78.064894504034712</v>
      </c>
      <c r="H211">
        <v>55.286796968766041</v>
      </c>
      <c r="I211" t="s">
        <v>141</v>
      </c>
      <c r="J211">
        <f t="shared" si="17"/>
        <v>3708.1894241125287</v>
      </c>
      <c r="K211">
        <v>758.32913730188761</v>
      </c>
      <c r="L211" t="s">
        <v>141</v>
      </c>
      <c r="M211">
        <f t="shared" si="18"/>
        <v>0.78009084232486825</v>
      </c>
      <c r="N211">
        <v>2.2742142469610815</v>
      </c>
    </row>
    <row r="212" spans="1:14" x14ac:dyDescent="0.3">
      <c r="A212" t="s">
        <v>169</v>
      </c>
      <c r="B212">
        <v>2.2999999999999998</v>
      </c>
      <c r="C212" t="s">
        <v>53</v>
      </c>
      <c r="D212">
        <f t="shared" si="15"/>
        <v>18.066366687432765</v>
      </c>
      <c r="E212">
        <v>28.791855191487194</v>
      </c>
      <c r="F212" t="s">
        <v>53</v>
      </c>
      <c r="G212">
        <f t="shared" si="16"/>
        <v>28.094432317116496</v>
      </c>
      <c r="H212">
        <v>79.812265178786618</v>
      </c>
      <c r="I212" t="s">
        <v>53</v>
      </c>
      <c r="J212">
        <f t="shared" si="17"/>
        <v>3617.4703839652807</v>
      </c>
      <c r="K212">
        <v>5319.7195268687956</v>
      </c>
      <c r="L212" t="s">
        <v>53</v>
      </c>
      <c r="M212">
        <f t="shared" si="18"/>
        <v>1.2698102463343982E-2</v>
      </c>
      <c r="N212">
        <v>2.3187085668200855</v>
      </c>
    </row>
    <row r="213" spans="1:14" x14ac:dyDescent="0.3">
      <c r="A213" t="s">
        <v>170</v>
      </c>
      <c r="B213">
        <v>3.3</v>
      </c>
      <c r="C213" t="s">
        <v>245</v>
      </c>
      <c r="D213">
        <f t="shared" si="15"/>
        <v>86.73666408752382</v>
      </c>
      <c r="E213">
        <v>185.99279727866613</v>
      </c>
      <c r="F213" t="s">
        <v>245</v>
      </c>
      <c r="G213">
        <f t="shared" si="16"/>
        <v>164.99558545587553</v>
      </c>
      <c r="H213">
        <v>340.98340011735183</v>
      </c>
      <c r="I213" t="s">
        <v>245</v>
      </c>
      <c r="J213">
        <f t="shared" si="17"/>
        <v>4322.8257226156556</v>
      </c>
      <c r="K213">
        <v>59871.328810147803</v>
      </c>
      <c r="L213" t="s">
        <v>245</v>
      </c>
      <c r="M213">
        <f t="shared" si="18"/>
        <v>4.2645885654688813</v>
      </c>
      <c r="N213">
        <v>-0.8934731478322222</v>
      </c>
    </row>
    <row r="214" spans="1:14" x14ac:dyDescent="0.3">
      <c r="A214" t="s">
        <v>267</v>
      </c>
      <c r="B214">
        <v>0</v>
      </c>
      <c r="C214" t="s">
        <v>246</v>
      </c>
      <c r="D214">
        <f t="shared" si="15"/>
        <v>0</v>
      </c>
      <c r="E214">
        <v>21.938309910567622</v>
      </c>
      <c r="F214" t="s">
        <v>246</v>
      </c>
      <c r="G214">
        <f t="shared" si="16"/>
        <v>0</v>
      </c>
      <c r="H214">
        <v>103.12100748311737</v>
      </c>
      <c r="I214" t="s">
        <v>246</v>
      </c>
      <c r="J214">
        <f t="shared" si="17"/>
        <v>0</v>
      </c>
      <c r="K214">
        <v>596.88598513558895</v>
      </c>
      <c r="L214" t="s">
        <v>246</v>
      </c>
      <c r="M214">
        <f t="shared" si="18"/>
        <v>0</v>
      </c>
      <c r="N214">
        <v>6.1735718196751233</v>
      </c>
    </row>
    <row r="215" spans="1:14" x14ac:dyDescent="0.3">
      <c r="A215" t="s">
        <v>240</v>
      </c>
      <c r="B215">
        <v>0</v>
      </c>
      <c r="C215" t="s">
        <v>140</v>
      </c>
      <c r="D215">
        <f t="shared" si="15"/>
        <v>16.995884111166561</v>
      </c>
      <c r="E215">
        <v>55.074609812519604</v>
      </c>
      <c r="F215" t="s">
        <v>140</v>
      </c>
      <c r="G215">
        <f t="shared" si="16"/>
        <v>76.173457614930967</v>
      </c>
      <c r="H215">
        <v>114.4920646432201</v>
      </c>
      <c r="I215" t="s">
        <v>140</v>
      </c>
      <c r="J215">
        <f t="shared" si="17"/>
        <v>3607.4161185882081</v>
      </c>
      <c r="K215">
        <v>12281.707946166955</v>
      </c>
      <c r="L215" t="s">
        <v>140</v>
      </c>
      <c r="M215">
        <f t="shared" si="18"/>
        <v>0.55559328357076165</v>
      </c>
      <c r="N215">
        <v>6.0699523209160251</v>
      </c>
    </row>
    <row r="216" spans="1:14" x14ac:dyDescent="0.3">
      <c r="A216" t="s">
        <v>171</v>
      </c>
      <c r="B216">
        <v>2.2000000000000002</v>
      </c>
      <c r="C216" t="s">
        <v>247</v>
      </c>
      <c r="D216">
        <f t="shared" si="15"/>
        <v>0</v>
      </c>
      <c r="E216">
        <v>24.819964278194195</v>
      </c>
      <c r="F216" t="s">
        <v>247</v>
      </c>
      <c r="G216">
        <f t="shared" si="16"/>
        <v>0</v>
      </c>
      <c r="H216">
        <v>57.153145236565464</v>
      </c>
      <c r="I216" t="s">
        <v>247</v>
      </c>
      <c r="J216">
        <f t="shared" si="17"/>
        <v>0</v>
      </c>
      <c r="K216">
        <v>1680.660979362726</v>
      </c>
      <c r="L216" t="s">
        <v>247</v>
      </c>
      <c r="M216">
        <f t="shared" si="18"/>
        <v>0</v>
      </c>
      <c r="N216">
        <v>2.0058891256971694</v>
      </c>
    </row>
    <row r="217" spans="1:14" x14ac:dyDescent="0.3">
      <c r="A217" t="s">
        <v>172</v>
      </c>
      <c r="B217">
        <v>0</v>
      </c>
      <c r="C217" t="s">
        <v>248</v>
      </c>
      <c r="D217">
        <f t="shared" si="15"/>
        <v>40.846123968671819</v>
      </c>
      <c r="E217"/>
      <c r="F217" t="s">
        <v>248</v>
      </c>
      <c r="G217">
        <f t="shared" si="16"/>
        <v>78.241887045148488</v>
      </c>
      <c r="H217"/>
      <c r="I217" t="s">
        <v>248</v>
      </c>
      <c r="J217">
        <f t="shared" si="17"/>
        <v>1330.7278057670908</v>
      </c>
      <c r="K217"/>
      <c r="L217" t="s">
        <v>248</v>
      </c>
      <c r="M217">
        <f t="shared" si="18"/>
        <v>2.3246533561482581</v>
      </c>
      <c r="N217"/>
    </row>
    <row r="218" spans="1:14" x14ac:dyDescent="0.3">
      <c r="A218" t="s">
        <v>173</v>
      </c>
      <c r="B218">
        <v>2.5</v>
      </c>
      <c r="C218" t="s">
        <v>249</v>
      </c>
      <c r="D218">
        <f t="shared" si="15"/>
        <v>17.117076005091782</v>
      </c>
      <c r="E218">
        <v>24.893994247970959</v>
      </c>
      <c r="F218" t="s">
        <v>249</v>
      </c>
      <c r="G218">
        <f t="shared" si="16"/>
        <v>40.291261204694159</v>
      </c>
      <c r="H218">
        <v>57.293733956769856</v>
      </c>
      <c r="I218" t="s">
        <v>249</v>
      </c>
      <c r="J218">
        <f t="shared" si="17"/>
        <v>2195.2250201017432</v>
      </c>
      <c r="K218">
        <v>1682.2261488118966</v>
      </c>
      <c r="L218" t="s">
        <v>249</v>
      </c>
      <c r="M218">
        <f t="shared" si="18"/>
        <v>1.6843211517412002</v>
      </c>
      <c r="N218">
        <v>2.0151987625649879</v>
      </c>
    </row>
    <row r="219" spans="1:14" x14ac:dyDescent="0.3">
      <c r="C219" t="s">
        <v>250</v>
      </c>
      <c r="D219"/>
      <c r="E219">
        <v>77.543757878680424</v>
      </c>
      <c r="F219" t="s">
        <v>250</v>
      </c>
      <c r="G219"/>
      <c r="H219">
        <v>143.7417850643283</v>
      </c>
      <c r="I219" t="s">
        <v>250</v>
      </c>
      <c r="J219"/>
      <c r="K219">
        <v>14360.785757405012</v>
      </c>
      <c r="L219" t="s">
        <v>250</v>
      </c>
      <c r="M219"/>
      <c r="N219">
        <v>4.0935106095799298</v>
      </c>
    </row>
    <row r="220" spans="1:14" x14ac:dyDescent="0.3">
      <c r="C220" t="s">
        <v>137</v>
      </c>
      <c r="D220"/>
      <c r="E220">
        <v>14.243802182464155</v>
      </c>
      <c r="F220" t="s">
        <v>137</v>
      </c>
      <c r="G220"/>
      <c r="H220">
        <v>46.974578733663243</v>
      </c>
      <c r="I220" t="s">
        <v>137</v>
      </c>
      <c r="J220"/>
      <c r="K220">
        <v>2990.6606143534955</v>
      </c>
      <c r="L220" t="s">
        <v>137</v>
      </c>
      <c r="M220"/>
      <c r="N220">
        <v>-3.7365988496794116</v>
      </c>
    </row>
    <row r="221" spans="1:14" x14ac:dyDescent="0.3">
      <c r="C221" t="s">
        <v>251</v>
      </c>
      <c r="D221"/>
      <c r="E221"/>
      <c r="F221" t="s">
        <v>251</v>
      </c>
      <c r="G221"/>
      <c r="H221"/>
      <c r="I221" t="s">
        <v>251</v>
      </c>
      <c r="J221"/>
      <c r="K221">
        <v>5521.97602122638</v>
      </c>
      <c r="L221" t="s">
        <v>251</v>
      </c>
      <c r="M221"/>
      <c r="N221">
        <v>13.944090027514248</v>
      </c>
    </row>
    <row r="222" spans="1:14" x14ac:dyDescent="0.3">
      <c r="C222" t="s">
        <v>143</v>
      </c>
      <c r="D222"/>
      <c r="E222">
        <v>91.493556132508374</v>
      </c>
      <c r="F222" t="s">
        <v>143</v>
      </c>
      <c r="G222"/>
      <c r="H222">
        <v>181.39087235644979</v>
      </c>
      <c r="I222" t="s">
        <v>143</v>
      </c>
      <c r="J222"/>
      <c r="K222">
        <v>24614.87346427939</v>
      </c>
      <c r="L222" t="s">
        <v>143</v>
      </c>
      <c r="M222"/>
      <c r="N222">
        <v>0.39386145591248456</v>
      </c>
    </row>
    <row r="223" spans="1:14" x14ac:dyDescent="0.3">
      <c r="C223" t="s">
        <v>144</v>
      </c>
      <c r="D223"/>
      <c r="E223">
        <v>83.438273731363154</v>
      </c>
      <c r="F223" t="s">
        <v>144</v>
      </c>
      <c r="G223"/>
      <c r="H223">
        <v>160.15966930089999</v>
      </c>
      <c r="I223" t="s">
        <v>144</v>
      </c>
      <c r="J223"/>
      <c r="K223">
        <v>32660.475358134645</v>
      </c>
      <c r="L223" t="s">
        <v>144</v>
      </c>
      <c r="M223"/>
      <c r="N223">
        <v>2.0902880931483208</v>
      </c>
    </row>
    <row r="224" spans="1:14" x14ac:dyDescent="0.3">
      <c r="C224" t="s">
        <v>150</v>
      </c>
      <c r="D224"/>
      <c r="E224">
        <v>55.195877970180632</v>
      </c>
      <c r="F224" t="s">
        <v>150</v>
      </c>
      <c r="G224"/>
      <c r="H224">
        <v>107.61970944397427</v>
      </c>
      <c r="I224" t="s">
        <v>150</v>
      </c>
      <c r="J224"/>
      <c r="K224">
        <v>54950.283472562231</v>
      </c>
      <c r="L224" t="s">
        <v>150</v>
      </c>
      <c r="M224"/>
      <c r="N224">
        <v>3.2251236900295623</v>
      </c>
    </row>
    <row r="225" spans="3:14" x14ac:dyDescent="0.3">
      <c r="C225" t="s">
        <v>252</v>
      </c>
      <c r="D225"/>
      <c r="E225">
        <v>48.501022333794445</v>
      </c>
      <c r="F225" t="s">
        <v>252</v>
      </c>
      <c r="G225"/>
      <c r="H225">
        <v>99.724611081561662</v>
      </c>
      <c r="I225" t="s">
        <v>252</v>
      </c>
      <c r="J225"/>
      <c r="K225">
        <v>3755.5211123246368</v>
      </c>
      <c r="L225" t="s">
        <v>252</v>
      </c>
      <c r="M225"/>
      <c r="N225">
        <v>0.60877271441603475</v>
      </c>
    </row>
    <row r="226" spans="3:14" x14ac:dyDescent="0.3">
      <c r="C226" t="s">
        <v>253</v>
      </c>
      <c r="D226"/>
      <c r="E226"/>
      <c r="F226" t="s">
        <v>253</v>
      </c>
      <c r="G226"/>
      <c r="H226"/>
      <c r="I226" t="s">
        <v>253</v>
      </c>
      <c r="J226"/>
      <c r="K226">
        <v>39451.822911732001</v>
      </c>
      <c r="L226" t="s">
        <v>253</v>
      </c>
      <c r="M226"/>
      <c r="N226">
        <v>2.6840510619578799</v>
      </c>
    </row>
    <row r="227" spans="3:14" x14ac:dyDescent="0.3">
      <c r="C227" t="s">
        <v>254</v>
      </c>
      <c r="D227"/>
      <c r="E227">
        <v>85.506141388259266</v>
      </c>
      <c r="F227" t="s">
        <v>254</v>
      </c>
      <c r="G227"/>
      <c r="H227">
        <v>183.84211655333266</v>
      </c>
      <c r="I227" t="s">
        <v>254</v>
      </c>
      <c r="J227"/>
      <c r="K227">
        <v>18130.529713554752</v>
      </c>
      <c r="L227" t="s">
        <v>254</v>
      </c>
      <c r="M227"/>
      <c r="N227">
        <v>11.038498865086064</v>
      </c>
    </row>
    <row r="228" spans="3:14" x14ac:dyDescent="0.3">
      <c r="C228" t="s">
        <v>152</v>
      </c>
      <c r="D228"/>
      <c r="E228"/>
      <c r="F228" t="s">
        <v>152</v>
      </c>
      <c r="G228"/>
      <c r="H228"/>
      <c r="I228" t="s">
        <v>152</v>
      </c>
      <c r="J228"/>
      <c r="K228"/>
      <c r="L228" t="s">
        <v>152</v>
      </c>
      <c r="M228"/>
      <c r="N228"/>
    </row>
    <row r="229" spans="3:14" x14ac:dyDescent="0.3">
      <c r="C229" t="s">
        <v>255</v>
      </c>
      <c r="D229"/>
      <c r="E229"/>
      <c r="F229" t="s">
        <v>255</v>
      </c>
      <c r="G229"/>
      <c r="H229"/>
      <c r="I229" t="s">
        <v>255</v>
      </c>
      <c r="J229"/>
      <c r="K229">
        <v>35470.215160829473</v>
      </c>
      <c r="L229" t="s">
        <v>255</v>
      </c>
      <c r="M229"/>
      <c r="N229">
        <v>1.9930741895935258</v>
      </c>
    </row>
    <row r="230" spans="3:14" x14ac:dyDescent="0.3">
      <c r="C230" t="s">
        <v>35</v>
      </c>
      <c r="D230"/>
      <c r="E230">
        <v>29.101589360796389</v>
      </c>
      <c r="F230" t="s">
        <v>35</v>
      </c>
      <c r="G230"/>
      <c r="H230">
        <v>46.862648875972759</v>
      </c>
      <c r="I230" t="s">
        <v>35</v>
      </c>
      <c r="J230"/>
      <c r="K230">
        <v>949.99105423626645</v>
      </c>
      <c r="L230" t="s">
        <v>35</v>
      </c>
      <c r="M230"/>
      <c r="N230">
        <v>4.9764932523801608</v>
      </c>
    </row>
    <row r="231" spans="3:14" x14ac:dyDescent="0.3">
      <c r="C231" t="s">
        <v>256</v>
      </c>
      <c r="D231"/>
      <c r="E231">
        <v>23.311877669844204</v>
      </c>
      <c r="F231" t="s">
        <v>256</v>
      </c>
      <c r="G231"/>
      <c r="H231">
        <v>45.074211109310475</v>
      </c>
      <c r="I231" t="s">
        <v>256</v>
      </c>
      <c r="J231"/>
      <c r="K231">
        <v>10240.347467686179</v>
      </c>
      <c r="L231" t="s">
        <v>256</v>
      </c>
      <c r="M231"/>
      <c r="N231">
        <v>0.59442761983162873</v>
      </c>
    </row>
    <row r="232" spans="3:14" x14ac:dyDescent="0.3">
      <c r="C232" t="s">
        <v>257</v>
      </c>
      <c r="D232"/>
      <c r="E232">
        <v>34.904899488267247</v>
      </c>
      <c r="F232" t="s">
        <v>257</v>
      </c>
      <c r="G232"/>
      <c r="H232">
        <v>65.659383341268352</v>
      </c>
      <c r="I232" t="s">
        <v>257</v>
      </c>
      <c r="J232"/>
      <c r="K232">
        <v>12070.594296979367</v>
      </c>
      <c r="L232" t="s">
        <v>257</v>
      </c>
      <c r="M232"/>
      <c r="N232">
        <v>1.4936947163746821</v>
      </c>
    </row>
    <row r="233" spans="3:14" x14ac:dyDescent="0.3">
      <c r="C233" t="s">
        <v>157</v>
      </c>
      <c r="D233"/>
      <c r="E233">
        <v>24.582051795057868</v>
      </c>
      <c r="F233" t="s">
        <v>157</v>
      </c>
      <c r="G233"/>
      <c r="H233">
        <v>59.929177701742667</v>
      </c>
      <c r="I233" t="s">
        <v>157</v>
      </c>
      <c r="J233"/>
      <c r="K233">
        <v>1182.3295143669632</v>
      </c>
      <c r="L233" t="s">
        <v>157</v>
      </c>
      <c r="M233"/>
      <c r="N233">
        <v>0.8200601161179224</v>
      </c>
    </row>
    <row r="234" spans="3:14" x14ac:dyDescent="0.3">
      <c r="C234" t="s">
        <v>155</v>
      </c>
      <c r="D234"/>
      <c r="E234">
        <v>65.513588274501743</v>
      </c>
      <c r="F234" t="s">
        <v>155</v>
      </c>
      <c r="G234"/>
      <c r="H234">
        <v>128.79235969016511</v>
      </c>
      <c r="I234" t="s">
        <v>155</v>
      </c>
      <c r="J234"/>
      <c r="K234">
        <v>7210.541308326855</v>
      </c>
      <c r="L234" t="s">
        <v>155</v>
      </c>
      <c r="M234"/>
      <c r="N234">
        <v>1.9975474592023996</v>
      </c>
    </row>
    <row r="235" spans="3:14" x14ac:dyDescent="0.3">
      <c r="C235" t="s">
        <v>153</v>
      </c>
      <c r="D235"/>
      <c r="E235">
        <v>17.191837460141492</v>
      </c>
      <c r="F235" t="s">
        <v>153</v>
      </c>
      <c r="G235"/>
      <c r="H235">
        <v>65.63470103673535</v>
      </c>
      <c r="I235" t="s">
        <v>153</v>
      </c>
      <c r="J235"/>
      <c r="K235">
        <v>1178.4799006024875</v>
      </c>
      <c r="L235" t="s">
        <v>153</v>
      </c>
      <c r="M235"/>
      <c r="N235">
        <v>1.148136988833917</v>
      </c>
    </row>
    <row r="236" spans="3:14" x14ac:dyDescent="0.3">
      <c r="C236" t="s">
        <v>161</v>
      </c>
      <c r="D236"/>
      <c r="E236">
        <v>21.675320258474095</v>
      </c>
      <c r="F236" t="s">
        <v>161</v>
      </c>
      <c r="G236"/>
      <c r="H236">
        <v>34.179403554018819</v>
      </c>
      <c r="I236" t="s">
        <v>161</v>
      </c>
      <c r="J236"/>
      <c r="K236">
        <v>5298.4642194927619</v>
      </c>
      <c r="L236" t="s">
        <v>161</v>
      </c>
      <c r="M236"/>
      <c r="N236">
        <v>3.5323029686693119</v>
      </c>
    </row>
    <row r="237" spans="3:14" x14ac:dyDescent="0.3">
      <c r="C237" t="s">
        <v>258</v>
      </c>
      <c r="D237"/>
      <c r="E237">
        <v>25.021311588537575</v>
      </c>
      <c r="F237" t="s">
        <v>258</v>
      </c>
      <c r="G237"/>
      <c r="H237">
        <v>46.891480337970435</v>
      </c>
      <c r="I237" t="s">
        <v>258</v>
      </c>
      <c r="J237"/>
      <c r="K237">
        <v>10259.548720889186</v>
      </c>
      <c r="L237" t="s">
        <v>258</v>
      </c>
      <c r="M237"/>
      <c r="N237">
        <v>2.6034858690022604</v>
      </c>
    </row>
    <row r="238" spans="3:14" x14ac:dyDescent="0.3">
      <c r="C238" t="s">
        <v>156</v>
      </c>
      <c r="D238"/>
      <c r="E238">
        <v>22.923094469419464</v>
      </c>
      <c r="F238" t="s">
        <v>156</v>
      </c>
      <c r="G238"/>
      <c r="H238">
        <v>89.30464909726436</v>
      </c>
      <c r="I238" t="s">
        <v>156</v>
      </c>
      <c r="J238"/>
      <c r="K238">
        <v>1502.4114958902999</v>
      </c>
      <c r="L238" t="s">
        <v>156</v>
      </c>
      <c r="M238"/>
      <c r="N238">
        <v>5.8749926073195606</v>
      </c>
    </row>
    <row r="239" spans="3:14" x14ac:dyDescent="0.3">
      <c r="C239" t="s">
        <v>259</v>
      </c>
      <c r="D239"/>
      <c r="E239">
        <v>26.09062716935308</v>
      </c>
      <c r="F239" t="s">
        <v>259</v>
      </c>
      <c r="G239"/>
      <c r="H239">
        <v>55.989877298408281</v>
      </c>
      <c r="I239" t="s">
        <v>259</v>
      </c>
      <c r="J239"/>
      <c r="K239">
        <v>2867.144998853506</v>
      </c>
      <c r="L239" t="s">
        <v>259</v>
      </c>
      <c r="M239"/>
      <c r="N239">
        <v>0.71697180803731375</v>
      </c>
    </row>
    <row r="240" spans="3:14" x14ac:dyDescent="0.3">
      <c r="C240" t="s">
        <v>260</v>
      </c>
      <c r="D240"/>
      <c r="E240">
        <v>14.744021089237149</v>
      </c>
      <c r="F240" t="s">
        <v>260</v>
      </c>
      <c r="G240"/>
      <c r="H240">
        <v>79.623925700007874</v>
      </c>
      <c r="I240" t="s">
        <v>260</v>
      </c>
      <c r="J240"/>
      <c r="K240">
        <v>5651.593579392862</v>
      </c>
      <c r="L240" t="s">
        <v>260</v>
      </c>
      <c r="M240"/>
      <c r="N240">
        <v>0.44357393519288008</v>
      </c>
    </row>
    <row r="241" spans="3:14" x14ac:dyDescent="0.3">
      <c r="C241" t="s">
        <v>261</v>
      </c>
      <c r="D241"/>
      <c r="E241">
        <v>21.264615894021137</v>
      </c>
      <c r="F241" t="s">
        <v>261</v>
      </c>
      <c r="G241"/>
      <c r="H241">
        <v>45.129712221689942</v>
      </c>
      <c r="I241" t="s">
        <v>261</v>
      </c>
      <c r="J241"/>
      <c r="K241">
        <v>2449.8571424509964</v>
      </c>
      <c r="L241" t="s">
        <v>261</v>
      </c>
      <c r="M241"/>
      <c r="N241">
        <v>0.76402916443697988</v>
      </c>
    </row>
    <row r="242" spans="3:14" x14ac:dyDescent="0.3">
      <c r="C242" t="s">
        <v>262</v>
      </c>
      <c r="D242"/>
      <c r="E242">
        <v>24.893994247970959</v>
      </c>
      <c r="F242" t="s">
        <v>262</v>
      </c>
      <c r="G242"/>
      <c r="H242">
        <v>57.293733956769877</v>
      </c>
      <c r="I242" t="s">
        <v>262</v>
      </c>
      <c r="J242"/>
      <c r="K242">
        <v>1682.2261488118961</v>
      </c>
      <c r="L242" t="s">
        <v>262</v>
      </c>
      <c r="M242"/>
      <c r="N242">
        <v>2.0151987625649874</v>
      </c>
    </row>
    <row r="243" spans="3:14" x14ac:dyDescent="0.3">
      <c r="C243" t="s">
        <v>158</v>
      </c>
      <c r="D243"/>
      <c r="E243"/>
      <c r="F243" t="s">
        <v>158</v>
      </c>
      <c r="G243"/>
      <c r="H243"/>
      <c r="I243" t="s">
        <v>158</v>
      </c>
      <c r="J243"/>
      <c r="K243">
        <v>18308.453629857464</v>
      </c>
      <c r="L243" t="s">
        <v>158</v>
      </c>
      <c r="M243"/>
      <c r="N243">
        <v>-5.9848645870779098</v>
      </c>
    </row>
    <row r="244" spans="3:14" x14ac:dyDescent="0.3">
      <c r="C244" t="s">
        <v>159</v>
      </c>
      <c r="D244"/>
      <c r="E244">
        <v>53.039393911060827</v>
      </c>
      <c r="F244" t="s">
        <v>159</v>
      </c>
      <c r="G244"/>
      <c r="H244">
        <v>112.12885801335437</v>
      </c>
      <c r="I244" t="s">
        <v>159</v>
      </c>
      <c r="J244"/>
      <c r="K244">
        <v>3951.1168337692147</v>
      </c>
      <c r="L244" t="s">
        <v>159</v>
      </c>
      <c r="M244"/>
      <c r="N244">
        <v>1.4635133384422858</v>
      </c>
    </row>
    <row r="245" spans="3:14" x14ac:dyDescent="0.3">
      <c r="C245" t="s">
        <v>160</v>
      </c>
      <c r="D245"/>
      <c r="E245">
        <v>31.913592680972396</v>
      </c>
      <c r="F245" t="s">
        <v>160</v>
      </c>
      <c r="G245"/>
      <c r="H245">
        <v>65.683208473866685</v>
      </c>
      <c r="I245" t="s">
        <v>160</v>
      </c>
      <c r="J245"/>
      <c r="K245">
        <v>13375.094728286429</v>
      </c>
      <c r="L245" t="s">
        <v>160</v>
      </c>
      <c r="M245"/>
      <c r="N245">
        <v>0.93380649553491246</v>
      </c>
    </row>
    <row r="246" spans="3:14" x14ac:dyDescent="0.3">
      <c r="C246" t="s">
        <v>263</v>
      </c>
      <c r="D246"/>
      <c r="E246"/>
      <c r="F246" t="s">
        <v>263</v>
      </c>
      <c r="G246"/>
      <c r="H246"/>
      <c r="I246" t="s">
        <v>263</v>
      </c>
      <c r="J246"/>
      <c r="K246">
        <v>5143.8397437225985</v>
      </c>
      <c r="L246" t="s">
        <v>263</v>
      </c>
      <c r="M246"/>
      <c r="N246">
        <v>0.32933975182894737</v>
      </c>
    </row>
    <row r="247" spans="3:14" x14ac:dyDescent="0.3">
      <c r="C247" t="s">
        <v>154</v>
      </c>
      <c r="D247"/>
      <c r="E247">
        <v>17.195429876275451</v>
      </c>
      <c r="F247" t="s">
        <v>154</v>
      </c>
      <c r="G247"/>
      <c r="H247">
        <v>38.212034806338956</v>
      </c>
      <c r="I247" t="s">
        <v>154</v>
      </c>
      <c r="J247"/>
      <c r="K247">
        <v>1224.00219726563</v>
      </c>
      <c r="L247" t="s">
        <v>154</v>
      </c>
      <c r="M247"/>
      <c r="N247">
        <v>2.086415709229267</v>
      </c>
    </row>
    <row r="248" spans="3:14" x14ac:dyDescent="0.3">
      <c r="C248" t="s">
        <v>162</v>
      </c>
      <c r="D248"/>
      <c r="E248">
        <v>11.601708925549934</v>
      </c>
      <c r="F248" t="s">
        <v>162</v>
      </c>
      <c r="G248"/>
      <c r="H248">
        <v>33.341696330221929</v>
      </c>
      <c r="I248" t="s">
        <v>162</v>
      </c>
      <c r="J248"/>
      <c r="K248">
        <v>1002.3091391714248</v>
      </c>
      <c r="L248" t="s">
        <v>162</v>
      </c>
      <c r="M248"/>
      <c r="N248">
        <v>6.1381650191359398</v>
      </c>
    </row>
    <row r="249" spans="3:14" x14ac:dyDescent="0.3">
      <c r="C249" t="s">
        <v>163</v>
      </c>
      <c r="D249"/>
      <c r="E249">
        <v>28.30046827372702</v>
      </c>
      <c r="F249" t="s">
        <v>163</v>
      </c>
      <c r="G249"/>
      <c r="H249">
        <v>77.50961419356571</v>
      </c>
      <c r="I249" t="s">
        <v>163</v>
      </c>
      <c r="J249"/>
      <c r="K249">
        <v>5139.59814453125</v>
      </c>
      <c r="L249" t="s">
        <v>163</v>
      </c>
      <c r="M249"/>
      <c r="N249">
        <v>2.5228792109066425</v>
      </c>
    </row>
    <row r="250" spans="3:14" x14ac:dyDescent="0.3">
      <c r="C250" t="s">
        <v>264</v>
      </c>
      <c r="D250"/>
      <c r="E250">
        <v>24.515687737696179</v>
      </c>
      <c r="F250" t="s">
        <v>264</v>
      </c>
      <c r="G250"/>
      <c r="H250">
        <v>48.602111936455138</v>
      </c>
      <c r="I250" t="s">
        <v>264</v>
      </c>
      <c r="J250"/>
      <c r="K250">
        <v>10118.621772814822</v>
      </c>
      <c r="L250" t="s">
        <v>264</v>
      </c>
      <c r="M250"/>
      <c r="N250">
        <v>1.0270440997729509</v>
      </c>
    </row>
    <row r="251" spans="3:14" x14ac:dyDescent="0.3">
      <c r="C251" t="s">
        <v>167</v>
      </c>
      <c r="D251"/>
      <c r="E251">
        <v>27.981248656588381</v>
      </c>
      <c r="F251" t="s">
        <v>167</v>
      </c>
      <c r="G251"/>
      <c r="H251">
        <v>52.327310838701834</v>
      </c>
      <c r="I251" t="s">
        <v>167</v>
      </c>
      <c r="J251"/>
      <c r="K251">
        <v>23378.639973351612</v>
      </c>
      <c r="L251" t="s">
        <v>167</v>
      </c>
      <c r="M251"/>
      <c r="N251">
        <v>-6.6256474617616092</v>
      </c>
    </row>
    <row r="252" spans="3:14" x14ac:dyDescent="0.3">
      <c r="C252" t="s">
        <v>166</v>
      </c>
      <c r="D252"/>
      <c r="E252">
        <v>11.050673719092705</v>
      </c>
      <c r="F252" t="s">
        <v>166</v>
      </c>
      <c r="G252"/>
      <c r="H252">
        <v>24.929298175284721</v>
      </c>
      <c r="I252" t="s">
        <v>166</v>
      </c>
      <c r="J252"/>
      <c r="K252">
        <v>82586.784770789425</v>
      </c>
      <c r="L252" t="s">
        <v>166</v>
      </c>
      <c r="M252"/>
      <c r="N252">
        <v>1.3014176824658648</v>
      </c>
    </row>
    <row r="253" spans="3:14" x14ac:dyDescent="0.3">
      <c r="C253" t="s">
        <v>168</v>
      </c>
      <c r="D253"/>
      <c r="E253">
        <v>23.315232191522163</v>
      </c>
      <c r="F253" t="s">
        <v>168</v>
      </c>
      <c r="G253"/>
      <c r="H253">
        <v>63.10219430490497</v>
      </c>
      <c r="I253" t="s">
        <v>168</v>
      </c>
      <c r="J253"/>
      <c r="K253">
        <v>3015.9770506945738</v>
      </c>
      <c r="L253" t="s">
        <v>168</v>
      </c>
      <c r="M253"/>
      <c r="N253">
        <v>2.0054127330605027</v>
      </c>
    </row>
    <row r="254" spans="3:14" x14ac:dyDescent="0.3">
      <c r="C254" t="s">
        <v>265</v>
      </c>
      <c r="D254"/>
      <c r="E254"/>
      <c r="F254" t="s">
        <v>265</v>
      </c>
      <c r="G254"/>
      <c r="H254"/>
      <c r="I254" t="s">
        <v>265</v>
      </c>
      <c r="J254"/>
      <c r="K254">
        <v>10582.365672522892</v>
      </c>
      <c r="L254" t="s">
        <v>265</v>
      </c>
      <c r="M254"/>
      <c r="N254">
        <v>6.8861246476732543</v>
      </c>
    </row>
    <row r="255" spans="3:14" x14ac:dyDescent="0.3">
      <c r="C255" t="s">
        <v>169</v>
      </c>
      <c r="D255"/>
      <c r="E255">
        <v>18.066366687432765</v>
      </c>
      <c r="F255" t="s">
        <v>169</v>
      </c>
      <c r="G255"/>
      <c r="H255">
        <v>28.094432317116496</v>
      </c>
      <c r="I255" t="s">
        <v>169</v>
      </c>
      <c r="J255"/>
      <c r="K255">
        <v>3617.4703839652807</v>
      </c>
      <c r="L255" t="s">
        <v>169</v>
      </c>
      <c r="M255"/>
      <c r="N255">
        <v>1.2698102463343982E-2</v>
      </c>
    </row>
    <row r="256" spans="3:14" x14ac:dyDescent="0.3">
      <c r="C256" t="s">
        <v>266</v>
      </c>
      <c r="D256"/>
      <c r="E256"/>
      <c r="F256" t="s">
        <v>266</v>
      </c>
      <c r="G256"/>
      <c r="H256"/>
      <c r="I256" t="s">
        <v>266</v>
      </c>
      <c r="J256"/>
      <c r="K256"/>
      <c r="L256" t="s">
        <v>266</v>
      </c>
      <c r="M256"/>
      <c r="N256"/>
    </row>
    <row r="257" spans="3:14" x14ac:dyDescent="0.3">
      <c r="C257" t="s">
        <v>267</v>
      </c>
      <c r="D257"/>
      <c r="E257"/>
      <c r="F257" t="s">
        <v>267</v>
      </c>
      <c r="G257"/>
      <c r="H257"/>
      <c r="I257" t="s">
        <v>267</v>
      </c>
      <c r="J257"/>
      <c r="K257"/>
      <c r="L257" t="s">
        <v>267</v>
      </c>
      <c r="M257"/>
      <c r="N257"/>
    </row>
    <row r="258" spans="3:14" x14ac:dyDescent="0.3">
      <c r="C258" t="s">
        <v>170</v>
      </c>
      <c r="D258"/>
      <c r="E258">
        <v>86.73666408752382</v>
      </c>
      <c r="F258" t="s">
        <v>170</v>
      </c>
      <c r="G258"/>
      <c r="H258">
        <v>164.99558545587553</v>
      </c>
      <c r="I258" t="s">
        <v>170</v>
      </c>
      <c r="J258"/>
      <c r="K258">
        <v>4322.8257226156556</v>
      </c>
      <c r="L258" t="s">
        <v>170</v>
      </c>
      <c r="M258"/>
      <c r="N258">
        <v>4.2645885654688813</v>
      </c>
    </row>
    <row r="259" spans="3:14" x14ac:dyDescent="0.3">
      <c r="C259" t="s">
        <v>268</v>
      </c>
      <c r="D259"/>
      <c r="E259">
        <v>28.37014739757776</v>
      </c>
      <c r="F259" t="s">
        <v>268</v>
      </c>
      <c r="G259"/>
      <c r="H259">
        <v>78.064894504034712</v>
      </c>
      <c r="I259" t="s">
        <v>268</v>
      </c>
      <c r="J259"/>
      <c r="K259">
        <v>3708.1894241125287</v>
      </c>
      <c r="L259" t="s">
        <v>268</v>
      </c>
      <c r="M259"/>
      <c r="N259">
        <v>0.78009084232486825</v>
      </c>
    </row>
    <row r="260" spans="3:14" x14ac:dyDescent="0.3">
      <c r="C260" t="s">
        <v>269</v>
      </c>
      <c r="D260"/>
      <c r="E260">
        <v>29.07190760195218</v>
      </c>
      <c r="F260" t="s">
        <v>269</v>
      </c>
      <c r="G260"/>
      <c r="H260">
        <v>58.065895147151501</v>
      </c>
      <c r="I260" t="s">
        <v>269</v>
      </c>
      <c r="J260"/>
      <c r="K260">
        <v>13313.857582600129</v>
      </c>
      <c r="L260" t="s">
        <v>269</v>
      </c>
      <c r="M260"/>
      <c r="N260">
        <v>0.87209041000963095</v>
      </c>
    </row>
    <row r="261" spans="3:14" x14ac:dyDescent="0.3">
      <c r="C261" t="s">
        <v>270</v>
      </c>
      <c r="D261"/>
      <c r="E261">
        <v>26.208579909602925</v>
      </c>
      <c r="F261" t="s">
        <v>270</v>
      </c>
      <c r="G261"/>
      <c r="H261">
        <v>80.840512570907819</v>
      </c>
      <c r="I261" t="s">
        <v>270</v>
      </c>
      <c r="J261"/>
      <c r="K261">
        <v>4822.7408465001881</v>
      </c>
      <c r="L261" t="s">
        <v>270</v>
      </c>
      <c r="M261"/>
      <c r="N261">
        <v>0.22929401789783202</v>
      </c>
    </row>
    <row r="262" spans="3:14" x14ac:dyDescent="0.3">
      <c r="C262" t="s">
        <v>271</v>
      </c>
      <c r="D262"/>
      <c r="E262">
        <v>39.640475666080036</v>
      </c>
      <c r="F262" t="s">
        <v>271</v>
      </c>
      <c r="G262"/>
      <c r="H262">
        <v>109.95185157790215</v>
      </c>
      <c r="I262" t="s">
        <v>271</v>
      </c>
      <c r="J262"/>
      <c r="K262">
        <v>6220.3321391934369</v>
      </c>
      <c r="L262" t="s">
        <v>271</v>
      </c>
      <c r="M262"/>
      <c r="N262">
        <v>8.6813783954773491</v>
      </c>
    </row>
    <row r="263" spans="3:14" x14ac:dyDescent="0.3">
      <c r="C263" t="s">
        <v>171</v>
      </c>
      <c r="D263"/>
      <c r="E263"/>
      <c r="F263" t="s">
        <v>171</v>
      </c>
      <c r="G263"/>
      <c r="H263"/>
      <c r="I263" t="s">
        <v>171</v>
      </c>
      <c r="J263"/>
      <c r="K263"/>
      <c r="L263" t="s">
        <v>171</v>
      </c>
      <c r="M263"/>
      <c r="N263"/>
    </row>
    <row r="264" spans="3:14" x14ac:dyDescent="0.3">
      <c r="C264" t="s">
        <v>146</v>
      </c>
      <c r="D264"/>
      <c r="E264">
        <v>33.253812755681558</v>
      </c>
      <c r="F264" t="s">
        <v>146</v>
      </c>
      <c r="G264"/>
      <c r="H264">
        <v>65.67987597407074</v>
      </c>
      <c r="I264" t="s">
        <v>146</v>
      </c>
      <c r="J264"/>
      <c r="K264">
        <v>6034.2720896467317</v>
      </c>
      <c r="L264" t="s">
        <v>146</v>
      </c>
      <c r="M264"/>
      <c r="N264">
        <v>1.0127377916455982</v>
      </c>
    </row>
    <row r="265" spans="3:14" x14ac:dyDescent="0.3">
      <c r="C265" t="s">
        <v>172</v>
      </c>
      <c r="D265"/>
      <c r="E265">
        <v>40.846123968671819</v>
      </c>
      <c r="F265" t="s">
        <v>172</v>
      </c>
      <c r="G265"/>
      <c r="H265">
        <v>78.241887045148488</v>
      </c>
      <c r="I265" t="s">
        <v>172</v>
      </c>
      <c r="J265"/>
      <c r="K265">
        <v>1330.7278057670908</v>
      </c>
      <c r="L265" t="s">
        <v>172</v>
      </c>
      <c r="M265"/>
      <c r="N265">
        <v>2.3246533561482581</v>
      </c>
    </row>
    <row r="266" spans="3:14" x14ac:dyDescent="0.3">
      <c r="C266" t="s">
        <v>173</v>
      </c>
      <c r="D266"/>
      <c r="E266">
        <v>17.117076005091782</v>
      </c>
      <c r="F266" t="s">
        <v>173</v>
      </c>
      <c r="G266"/>
      <c r="H266">
        <v>40.291261204694159</v>
      </c>
      <c r="I266" t="s">
        <v>173</v>
      </c>
      <c r="J266"/>
      <c r="K266">
        <v>2195.2250201017432</v>
      </c>
      <c r="L266" t="s">
        <v>173</v>
      </c>
      <c r="M266"/>
      <c r="N266">
        <v>1.6843211517412002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040D-61BF-47E4-B03F-99B46A985896}">
  <sheetPr filterMode="1"/>
  <dimension ref="A1:F206"/>
  <sheetViews>
    <sheetView workbookViewId="0">
      <selection activeCell="H16" sqref="H16"/>
    </sheetView>
  </sheetViews>
  <sheetFormatPr defaultColWidth="21.6640625" defaultRowHeight="14.4" x14ac:dyDescent="0.3"/>
  <cols>
    <col min="1" max="16384" width="21.6640625" style="3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3">
        <v>1.9</v>
      </c>
      <c r="C2" s="3">
        <v>16.235278441939137</v>
      </c>
      <c r="D2" s="3">
        <v>66.999578621951002</v>
      </c>
      <c r="E2" s="3">
        <v>413.75789475329998</v>
      </c>
      <c r="F2" s="3">
        <v>0.496</v>
      </c>
    </row>
    <row r="3" spans="1:6" x14ac:dyDescent="0.3">
      <c r="A3" s="3" t="s">
        <v>7</v>
      </c>
      <c r="B3" s="3">
        <v>2.5</v>
      </c>
      <c r="C3" s="3">
        <v>38.418821291287998</v>
      </c>
      <c r="D3" s="3">
        <v>82.352493399723002</v>
      </c>
      <c r="E3" s="3">
        <v>974.72341463099997</v>
      </c>
      <c r="F3" s="3">
        <v>6.9369594794999996</v>
      </c>
    </row>
    <row r="4" spans="1:6" x14ac:dyDescent="0.3">
      <c r="A4" s="3" t="s">
        <v>8</v>
      </c>
      <c r="B4" s="3">
        <v>2.5</v>
      </c>
      <c r="C4" s="3">
        <v>23.796473816300001</v>
      </c>
      <c r="D4" s="3">
        <v>43.739798457699997</v>
      </c>
      <c r="E4" s="3">
        <v>537.47723578</v>
      </c>
      <c r="F4" s="3">
        <v>0.48981914341423</v>
      </c>
    </row>
    <row r="5" spans="1:6" hidden="1" x14ac:dyDescent="0.3">
      <c r="A5" s="3" t="s">
        <v>178</v>
      </c>
      <c r="E5" s="3">
        <v>46812.448451140001</v>
      </c>
      <c r="F5" s="3">
        <v>7.2859718211891726</v>
      </c>
    </row>
    <row r="6" spans="1:6" x14ac:dyDescent="0.3">
      <c r="A6" s="3" t="s">
        <v>9</v>
      </c>
      <c r="B6" s="3">
        <v>2.1</v>
      </c>
      <c r="C6" s="3">
        <v>32.669372372410997</v>
      </c>
      <c r="D6" s="3">
        <v>53.671264986860002</v>
      </c>
      <c r="E6" s="3">
        <v>2885.5134913860002</v>
      </c>
      <c r="F6" s="3">
        <v>-1.998854414452103</v>
      </c>
    </row>
    <row r="7" spans="1:6" hidden="1" x14ac:dyDescent="0.3">
      <c r="A7" s="3" t="s">
        <v>10</v>
      </c>
      <c r="B7" s="3">
        <v>2.9</v>
      </c>
      <c r="E7" s="3">
        <v>2212.2625947994002</v>
      </c>
      <c r="F7" s="3">
        <v>14.265699589871</v>
      </c>
    </row>
    <row r="8" spans="1:6" x14ac:dyDescent="0.3">
      <c r="A8" s="3" t="s">
        <v>11</v>
      </c>
      <c r="B8" s="3">
        <v>2.8</v>
      </c>
      <c r="C8" s="3">
        <v>12.822312961470001</v>
      </c>
      <c r="D8" s="3">
        <v>26.67695124822146</v>
      </c>
      <c r="E8" s="3">
        <v>14261.846566794789</v>
      </c>
      <c r="F8" s="3">
        <v>3.8119879856951999</v>
      </c>
    </row>
    <row r="9" spans="1:6" x14ac:dyDescent="0.3">
      <c r="A9" s="3" t="s">
        <v>12</v>
      </c>
      <c r="B9" s="3">
        <v>2.5</v>
      </c>
      <c r="C9" s="3">
        <v>61.832947915600002</v>
      </c>
      <c r="D9" s="3">
        <v>123.4187577627</v>
      </c>
      <c r="E9" s="3">
        <v>8159.8729679959997</v>
      </c>
      <c r="F9" s="3">
        <v>2.3995927646558157</v>
      </c>
    </row>
    <row r="10" spans="1:6" x14ac:dyDescent="0.3">
      <c r="A10" s="3" t="s">
        <v>175</v>
      </c>
      <c r="B10" s="3">
        <v>3.3</v>
      </c>
      <c r="C10" s="3">
        <v>79.858893371661523</v>
      </c>
      <c r="D10" s="3">
        <v>153.71915834395907</v>
      </c>
      <c r="E10" s="3">
        <v>34897.618393290002</v>
      </c>
      <c r="F10" s="3">
        <v>-3.6689355783496644</v>
      </c>
    </row>
    <row r="11" spans="1:6" x14ac:dyDescent="0.3">
      <c r="A11" s="3" t="s">
        <v>13</v>
      </c>
      <c r="B11" s="3">
        <v>3.7</v>
      </c>
      <c r="C11" s="3">
        <v>26.716825227499999</v>
      </c>
      <c r="D11" s="3">
        <v>49.443393184279998</v>
      </c>
      <c r="E11" s="3">
        <v>6558.3773146674002</v>
      </c>
      <c r="F11" s="3">
        <v>2.361474389564</v>
      </c>
    </row>
    <row r="12" spans="1:6" x14ac:dyDescent="0.3">
      <c r="A12" s="3" t="s">
        <v>14</v>
      </c>
      <c r="B12" s="3">
        <v>4</v>
      </c>
      <c r="C12" s="3">
        <v>58.486759571394387</v>
      </c>
      <c r="D12" s="3">
        <v>115.15291482273196</v>
      </c>
      <c r="E12" s="3">
        <v>56579.541754680002</v>
      </c>
      <c r="F12" s="3">
        <v>0.56611237322770003</v>
      </c>
    </row>
    <row r="13" spans="1:6" x14ac:dyDescent="0.3">
      <c r="A13" s="3" t="s">
        <v>15</v>
      </c>
      <c r="B13" s="3">
        <v>2.4500000000000002</v>
      </c>
      <c r="C13" s="3">
        <v>48.9964135536</v>
      </c>
      <c r="D13" s="3">
        <v>83.535886115632138</v>
      </c>
      <c r="E13" s="3">
        <v>7133.2838483280002</v>
      </c>
      <c r="F13" s="3">
        <v>0.34983727338300002</v>
      </c>
    </row>
    <row r="14" spans="1:6" x14ac:dyDescent="0.3">
      <c r="A14" s="3" t="s">
        <v>16</v>
      </c>
      <c r="B14" s="3">
        <v>2.7</v>
      </c>
      <c r="C14" s="3">
        <v>37.811452367184998</v>
      </c>
      <c r="D14" s="3">
        <v>76.54947515928572</v>
      </c>
      <c r="E14" s="3">
        <v>38231.774484277987</v>
      </c>
      <c r="F14" s="3">
        <v>2.111519353762247</v>
      </c>
    </row>
    <row r="15" spans="1:6" x14ac:dyDescent="0.3">
      <c r="A15" s="3" t="s">
        <v>17</v>
      </c>
      <c r="B15" s="3">
        <v>3.5</v>
      </c>
      <c r="C15" s="3">
        <v>87.351143952571036</v>
      </c>
      <c r="D15" s="3">
        <v>157.44785468229745</v>
      </c>
      <c r="E15" s="3">
        <v>2929.1284215979999</v>
      </c>
      <c r="F15" s="3">
        <v>15.642875683644</v>
      </c>
    </row>
    <row r="16" spans="1:6" x14ac:dyDescent="0.3">
      <c r="A16" s="3" t="s">
        <v>18</v>
      </c>
      <c r="B16" s="3">
        <v>2.6</v>
      </c>
      <c r="C16" s="3">
        <v>13.157163834124001</v>
      </c>
      <c r="D16" s="3">
        <v>3.9829714145959998</v>
      </c>
      <c r="E16" s="3">
        <v>2551.1773827369998</v>
      </c>
      <c r="F16" s="3">
        <v>0.33572155298967998</v>
      </c>
    </row>
    <row r="17" spans="1:6" hidden="1" x14ac:dyDescent="0.3">
      <c r="A17" s="3" t="s">
        <v>183</v>
      </c>
      <c r="E17" s="3">
        <v>25583.872232549998</v>
      </c>
      <c r="F17" s="3">
        <v>3.1135577143365896</v>
      </c>
    </row>
    <row r="18" spans="1:6" x14ac:dyDescent="0.3">
      <c r="A18" s="3" t="s">
        <v>19</v>
      </c>
      <c r="B18" s="3">
        <v>2.7</v>
      </c>
      <c r="C18" s="3">
        <v>66.267285714940996</v>
      </c>
      <c r="D18" s="3">
        <v>131.58467488496072</v>
      </c>
      <c r="E18" s="3">
        <v>7896.7538829558362</v>
      </c>
      <c r="F18" s="3">
        <v>2.7485419891</v>
      </c>
    </row>
    <row r="19" spans="1:6" x14ac:dyDescent="0.3">
      <c r="A19" s="3" t="s">
        <v>20</v>
      </c>
      <c r="B19" s="3">
        <v>4</v>
      </c>
      <c r="C19" s="3">
        <v>82.813298297878347</v>
      </c>
      <c r="D19" s="3">
        <v>165.98744736442001</v>
      </c>
      <c r="E19" s="3">
        <v>55244.68145810999</v>
      </c>
      <c r="F19" s="3">
        <v>-0.65273382159187998</v>
      </c>
    </row>
    <row r="20" spans="1:6" hidden="1" x14ac:dyDescent="0.3">
      <c r="A20" s="3" t="s">
        <v>181</v>
      </c>
      <c r="C20" s="3">
        <v>54.938418513115003</v>
      </c>
      <c r="D20" s="3">
        <v>16.45585771</v>
      </c>
      <c r="E20" s="3">
        <v>7424.7582132121997</v>
      </c>
      <c r="F20" s="3">
        <v>0.55331934321999998</v>
      </c>
    </row>
    <row r="21" spans="1:6" x14ac:dyDescent="0.3">
      <c r="A21" s="3" t="s">
        <v>21</v>
      </c>
      <c r="B21" s="3">
        <v>2.9</v>
      </c>
      <c r="C21" s="3">
        <v>2.3519916900000002</v>
      </c>
      <c r="D21" s="3">
        <v>44.663138182110004</v>
      </c>
      <c r="E21" s="3">
        <v>1394.1778472183137</v>
      </c>
      <c r="F21" s="3">
        <v>2.2515898819569999</v>
      </c>
    </row>
    <row r="22" spans="1:6" hidden="1" x14ac:dyDescent="0.3">
      <c r="A22" s="3" t="s">
        <v>182</v>
      </c>
      <c r="C22" s="3">
        <v>52.765683168499997</v>
      </c>
      <c r="D22" s="3">
        <v>77.646529557530002</v>
      </c>
      <c r="E22" s="3">
        <v>132961.76796314999</v>
      </c>
      <c r="F22" s="3">
        <v>1.7539861795349001</v>
      </c>
    </row>
    <row r="23" spans="1:6" x14ac:dyDescent="0.3">
      <c r="A23" s="3" t="s">
        <v>22</v>
      </c>
      <c r="B23" s="3">
        <v>2.5</v>
      </c>
      <c r="C23" s="3">
        <v>28.388178975658001</v>
      </c>
      <c r="D23" s="3">
        <v>81.736627853981091</v>
      </c>
      <c r="E23" s="3">
        <v>3831.3253556432637</v>
      </c>
      <c r="F23" s="3">
        <v>0.338339566522946</v>
      </c>
    </row>
    <row r="24" spans="1:6" x14ac:dyDescent="0.3">
      <c r="A24" s="3" t="s">
        <v>23</v>
      </c>
      <c r="B24" s="3">
        <v>2.4</v>
      </c>
      <c r="C24" s="3">
        <v>22.428953816490001</v>
      </c>
      <c r="D24" s="3">
        <v>49.683255594597</v>
      </c>
      <c r="E24" s="3">
        <v>4274.7825476130001</v>
      </c>
      <c r="F24" s="3">
        <v>0.45881248265398999</v>
      </c>
    </row>
    <row r="25" spans="1:6" x14ac:dyDescent="0.3">
      <c r="A25" s="3" t="s">
        <v>24</v>
      </c>
      <c r="B25" s="3">
        <v>3</v>
      </c>
      <c r="C25" s="3">
        <v>43.931739817813806</v>
      </c>
      <c r="D25" s="3">
        <v>99.633317954442006</v>
      </c>
      <c r="E25" s="3">
        <v>8663.2326458628995</v>
      </c>
      <c r="F25" s="3">
        <v>4.9226692272900001</v>
      </c>
    </row>
    <row r="26" spans="1:6" x14ac:dyDescent="0.3">
      <c r="A26" s="3" t="s">
        <v>25</v>
      </c>
      <c r="B26" s="3">
        <v>3.1</v>
      </c>
      <c r="C26" s="3">
        <v>32.896892879468673</v>
      </c>
      <c r="D26" s="3">
        <v>7.1128327324590002</v>
      </c>
      <c r="E26" s="3">
        <v>7827.3279673400002</v>
      </c>
      <c r="F26" s="3">
        <v>3.8196512349790002</v>
      </c>
    </row>
    <row r="27" spans="1:6" x14ac:dyDescent="0.3">
      <c r="A27" s="3" t="s">
        <v>26</v>
      </c>
      <c r="B27" s="3">
        <v>3.2</v>
      </c>
      <c r="C27" s="3">
        <v>17.969324332740999</v>
      </c>
      <c r="D27" s="3">
        <v>33.666229831438002</v>
      </c>
      <c r="E27" s="3">
        <v>1377.5892792556999</v>
      </c>
      <c r="F27" s="3">
        <v>2.8638334429826999</v>
      </c>
    </row>
    <row r="28" spans="1:6" x14ac:dyDescent="0.3">
      <c r="A28" s="3" t="s">
        <v>27</v>
      </c>
      <c r="B28" s="3">
        <v>2.71</v>
      </c>
      <c r="C28" s="3">
        <v>76.732248525000003</v>
      </c>
      <c r="D28" s="3">
        <v>136.86343465479999</v>
      </c>
      <c r="E28" s="3">
        <v>3289.5491812189998</v>
      </c>
      <c r="F28" s="3">
        <v>-0.37545162271999999</v>
      </c>
    </row>
    <row r="29" spans="1:6" x14ac:dyDescent="0.3">
      <c r="A29" s="3" t="s">
        <v>28</v>
      </c>
      <c r="B29" s="3">
        <v>3.2</v>
      </c>
      <c r="C29" s="3">
        <v>62.497463656999997</v>
      </c>
      <c r="D29" s="3">
        <v>119.89955851916</v>
      </c>
      <c r="E29" s="3">
        <v>15854.192893772</v>
      </c>
      <c r="F29" s="3">
        <v>5.5862477514110003</v>
      </c>
    </row>
    <row r="30" spans="1:6" x14ac:dyDescent="0.3">
      <c r="A30" s="3" t="s">
        <v>29</v>
      </c>
      <c r="B30" s="3">
        <v>2.2999999999999998</v>
      </c>
      <c r="C30" s="3">
        <v>28.949425477896</v>
      </c>
      <c r="D30" s="3">
        <v>63.153435873964</v>
      </c>
      <c r="E30" s="3">
        <v>873.19861672469995</v>
      </c>
      <c r="F30" s="3">
        <v>0.54437234838860005</v>
      </c>
    </row>
    <row r="31" spans="1:6" hidden="1" x14ac:dyDescent="0.3">
      <c r="A31" s="3" t="s">
        <v>30</v>
      </c>
      <c r="E31" s="3">
        <v>249.79516439290001</v>
      </c>
      <c r="F31" s="3">
        <v>0.99426477683100001</v>
      </c>
    </row>
    <row r="32" spans="1:6" hidden="1" x14ac:dyDescent="0.3">
      <c r="A32" s="3" t="s">
        <v>186</v>
      </c>
      <c r="C32" s="3">
        <v>39.28548495495</v>
      </c>
      <c r="D32" s="3">
        <v>95.324943346691995</v>
      </c>
      <c r="E32" s="3">
        <v>4794.9119772842996</v>
      </c>
      <c r="F32" s="3">
        <v>6.3379627213115866</v>
      </c>
    </row>
    <row r="33" spans="1:6" x14ac:dyDescent="0.3">
      <c r="A33" s="3" t="s">
        <v>31</v>
      </c>
      <c r="B33" s="3">
        <v>2.4</v>
      </c>
      <c r="C33" s="3">
        <v>66.892666552170994</v>
      </c>
      <c r="D33" s="3">
        <v>134.26842395931001</v>
      </c>
      <c r="E33" s="3">
        <v>2429.7485345283822</v>
      </c>
      <c r="F33" s="3">
        <v>9.3596719897580005</v>
      </c>
    </row>
    <row r="34" spans="1:6" x14ac:dyDescent="0.3">
      <c r="A34" s="3" t="s">
        <v>32</v>
      </c>
      <c r="B34" s="3">
        <v>2.1</v>
      </c>
      <c r="C34" s="3">
        <v>16.852756219387</v>
      </c>
      <c r="D34" s="3">
        <v>37.893321242577997</v>
      </c>
      <c r="E34" s="3">
        <v>172.475115456</v>
      </c>
      <c r="F34" s="3">
        <v>1.6829965628995418</v>
      </c>
    </row>
    <row r="35" spans="1:6" x14ac:dyDescent="0.3">
      <c r="A35" s="3" t="s">
        <v>33</v>
      </c>
      <c r="B35" s="3">
        <v>4</v>
      </c>
      <c r="C35" s="3">
        <v>33.341652498948001</v>
      </c>
      <c r="D35" s="3">
        <v>66.574542515329995</v>
      </c>
      <c r="E35" s="3">
        <v>54847.537112651997</v>
      </c>
      <c r="F35" s="3">
        <v>1.9984159717384715</v>
      </c>
    </row>
    <row r="36" spans="1:6" hidden="1" x14ac:dyDescent="0.3">
      <c r="A36" s="3" t="s">
        <v>189</v>
      </c>
      <c r="E36" s="3">
        <v>165.23384117000001</v>
      </c>
      <c r="F36" s="3">
        <v>165.45813391780999</v>
      </c>
    </row>
    <row r="37" spans="1:6" x14ac:dyDescent="0.3">
      <c r="A37" s="3" t="s">
        <v>34</v>
      </c>
      <c r="B37" s="3">
        <v>2.5</v>
      </c>
      <c r="C37" s="3">
        <v>14.448262937339999</v>
      </c>
      <c r="D37" s="3">
        <v>43.485728358000003</v>
      </c>
      <c r="E37" s="3">
        <v>495.97889728872059</v>
      </c>
      <c r="F37" s="3">
        <v>1.5164656547544</v>
      </c>
    </row>
    <row r="38" spans="1:6" hidden="1" x14ac:dyDescent="0.3">
      <c r="A38" s="3" t="s">
        <v>35</v>
      </c>
      <c r="C38" s="3">
        <v>29.115893679639999</v>
      </c>
      <c r="D38" s="3">
        <v>46.862648875972759</v>
      </c>
      <c r="E38" s="3">
        <v>949.99154236265997</v>
      </c>
      <c r="F38" s="3">
        <v>4.9764932523815997</v>
      </c>
    </row>
    <row r="39" spans="1:6" hidden="1" x14ac:dyDescent="0.3">
      <c r="A39" s="3" t="s">
        <v>185</v>
      </c>
      <c r="E39" s="3">
        <v>74585.522496293997</v>
      </c>
    </row>
    <row r="40" spans="1:6" x14ac:dyDescent="0.3">
      <c r="A40" s="3" t="s">
        <v>36</v>
      </c>
      <c r="B40" s="3">
        <v>3</v>
      </c>
      <c r="C40" s="3">
        <v>3.7756174336370001</v>
      </c>
      <c r="D40" s="3">
        <v>6.6766444736157</v>
      </c>
      <c r="E40" s="3">
        <v>1781.5187449</v>
      </c>
      <c r="F40" s="3">
        <v>5.7234675956374002</v>
      </c>
    </row>
    <row r="41" spans="1:6" x14ac:dyDescent="0.3">
      <c r="A41" s="3" t="s">
        <v>37</v>
      </c>
      <c r="B41" s="3">
        <v>3.7</v>
      </c>
      <c r="C41" s="3">
        <v>19.423916483759999</v>
      </c>
      <c r="D41" s="3">
        <v>36.739149693839401</v>
      </c>
      <c r="E41" s="3">
        <v>12951.178239743</v>
      </c>
      <c r="F41" s="3">
        <v>0.28991136348160002</v>
      </c>
    </row>
    <row r="42" spans="1:6" x14ac:dyDescent="0.3">
      <c r="A42" s="3" t="s">
        <v>38</v>
      </c>
      <c r="B42" s="3">
        <v>2.9</v>
      </c>
      <c r="C42" s="3">
        <v>17.877746975859999</v>
      </c>
      <c r="D42" s="3">
        <v>4.1333165322580996</v>
      </c>
      <c r="E42" s="3">
        <v>712.49169137755996</v>
      </c>
      <c r="F42" s="3">
        <v>4.5771674827926319</v>
      </c>
    </row>
    <row r="43" spans="1:6" x14ac:dyDescent="0.3">
      <c r="A43" s="3" t="s">
        <v>39</v>
      </c>
      <c r="B43" s="3">
        <v>2.56</v>
      </c>
      <c r="C43" s="3">
        <v>1.31836318596</v>
      </c>
      <c r="D43" s="3">
        <v>44.439863449789001</v>
      </c>
      <c r="E43" s="3">
        <v>1723.8947494647398</v>
      </c>
      <c r="F43" s="3">
        <v>0.36513285679525997</v>
      </c>
    </row>
    <row r="44" spans="1:6" x14ac:dyDescent="0.3">
      <c r="A44" s="3" t="s">
        <v>40</v>
      </c>
      <c r="B44" s="3">
        <v>2.5</v>
      </c>
      <c r="C44" s="3">
        <v>42.539835211191999</v>
      </c>
      <c r="D44" s="3">
        <v>86.745817982890003</v>
      </c>
      <c r="E44" s="3">
        <v>66.212523899700003</v>
      </c>
      <c r="F44" s="3">
        <v>3.4822697575779999</v>
      </c>
    </row>
    <row r="45" spans="1:6" x14ac:dyDescent="0.3">
      <c r="A45" s="3" t="s">
        <v>41</v>
      </c>
      <c r="B45" s="3">
        <v>2.6</v>
      </c>
      <c r="C45" s="3">
        <v>56.895927833858998</v>
      </c>
      <c r="D45" s="3">
        <v>96.213944396179997</v>
      </c>
      <c r="E45" s="3">
        <v>2477.9784554486619</v>
      </c>
      <c r="F45" s="3">
        <v>4.8897217827499997</v>
      </c>
    </row>
    <row r="46" spans="1:6" x14ac:dyDescent="0.3">
      <c r="A46" s="3" t="s">
        <v>42</v>
      </c>
      <c r="B46" s="3">
        <v>2.9</v>
      </c>
      <c r="C46" s="3">
        <v>38.957487812700002</v>
      </c>
      <c r="D46" s="3">
        <v>71.438313453600003</v>
      </c>
      <c r="E46" s="3">
        <v>1714.7714312200001</v>
      </c>
      <c r="F46" s="3">
        <v>6.5567371313475</v>
      </c>
    </row>
    <row r="47" spans="1:6" x14ac:dyDescent="0.3">
      <c r="A47" s="3" t="s">
        <v>43</v>
      </c>
      <c r="B47" s="3">
        <v>3.08</v>
      </c>
      <c r="C47" s="3">
        <v>22.435339571410001</v>
      </c>
      <c r="D47" s="3">
        <v>48.8173913332</v>
      </c>
      <c r="E47" s="3">
        <v>2591.9659481190001</v>
      </c>
      <c r="F47" s="3">
        <v>3.7641433618414002</v>
      </c>
    </row>
    <row r="48" spans="1:6" x14ac:dyDescent="0.3">
      <c r="A48" s="3" t="s">
        <v>44</v>
      </c>
      <c r="B48" s="3">
        <v>3.3</v>
      </c>
      <c r="C48" s="3">
        <v>52.567373248339997</v>
      </c>
      <c r="D48" s="3">
        <v>17.277816316199999</v>
      </c>
      <c r="E48" s="3">
        <v>22183.498225849158</v>
      </c>
      <c r="F48" s="3">
        <v>3.9313322235580999</v>
      </c>
    </row>
    <row r="49" spans="1:6" hidden="1" x14ac:dyDescent="0.3">
      <c r="A49" s="3" t="s">
        <v>45</v>
      </c>
      <c r="B49" s="3">
        <v>2.2000000000000002</v>
      </c>
      <c r="C49" s="3">
        <v>45.626767484913998</v>
      </c>
      <c r="D49" s="3">
        <v>12.533878427187</v>
      </c>
    </row>
    <row r="50" spans="1:6" hidden="1" x14ac:dyDescent="0.3">
      <c r="A50" s="3" t="s">
        <v>188</v>
      </c>
      <c r="E50" s="3">
        <v>21217.819173312</v>
      </c>
      <c r="F50" s="3">
        <v>4.1629192136416</v>
      </c>
    </row>
    <row r="51" spans="1:6" x14ac:dyDescent="0.3">
      <c r="A51" s="3" t="s">
        <v>46</v>
      </c>
      <c r="B51" s="3">
        <v>3.2</v>
      </c>
      <c r="C51" s="3">
        <v>96.389977531499994</v>
      </c>
      <c r="D51" s="3">
        <v>19.74957956519</v>
      </c>
      <c r="E51" s="3">
        <v>36623.773125</v>
      </c>
      <c r="F51" s="3">
        <v>-63.154639121542097</v>
      </c>
    </row>
    <row r="52" spans="1:6" x14ac:dyDescent="0.3">
      <c r="A52" s="3" t="s">
        <v>47</v>
      </c>
      <c r="B52" s="3">
        <v>3.3</v>
      </c>
      <c r="C52" s="3">
        <v>68.431692844520001</v>
      </c>
      <c r="D52" s="3">
        <v>131.89259829587624</v>
      </c>
      <c r="E52" s="3">
        <v>31761.594412490998</v>
      </c>
      <c r="F52" s="3">
        <v>3.446241946487</v>
      </c>
    </row>
    <row r="53" spans="1:6" x14ac:dyDescent="0.3">
      <c r="A53" s="3" t="s">
        <v>48</v>
      </c>
      <c r="B53" s="3">
        <v>4.0999999999999996</v>
      </c>
      <c r="C53" s="3">
        <v>69.314362591443</v>
      </c>
      <c r="D53" s="3">
        <v>129.62533743127759</v>
      </c>
      <c r="E53" s="3">
        <v>6843.5466971243004</v>
      </c>
      <c r="F53" s="3">
        <v>2.346382929142</v>
      </c>
    </row>
    <row r="54" spans="1:6" x14ac:dyDescent="0.3">
      <c r="A54" s="3" t="s">
        <v>49</v>
      </c>
      <c r="B54" s="3">
        <v>2.7</v>
      </c>
      <c r="C54" s="3">
        <v>15.741322598259</v>
      </c>
      <c r="D54" s="3">
        <v>285.92438643999998</v>
      </c>
      <c r="E54" s="3">
        <v>3381.2977971721998</v>
      </c>
      <c r="F54" s="3">
        <v>3.5144623164134865</v>
      </c>
    </row>
    <row r="55" spans="1:6" hidden="1" x14ac:dyDescent="0.3">
      <c r="A55" s="3" t="s">
        <v>190</v>
      </c>
      <c r="E55" s="3">
        <v>9912.9621276666821</v>
      </c>
      <c r="F55" s="3">
        <v>7.282683384452902</v>
      </c>
    </row>
    <row r="56" spans="1:6" x14ac:dyDescent="0.3">
      <c r="A56" s="3" t="s">
        <v>50</v>
      </c>
      <c r="B56" s="3">
        <v>2.6</v>
      </c>
      <c r="C56" s="3">
        <v>21.323316532410001</v>
      </c>
      <c r="D56" s="3">
        <v>49.843613176441728</v>
      </c>
      <c r="E56" s="3">
        <v>163.431743829</v>
      </c>
      <c r="F56" s="3">
        <v>3.943755868192</v>
      </c>
    </row>
    <row r="57" spans="1:6" x14ac:dyDescent="0.3">
      <c r="A57" s="3" t="s">
        <v>51</v>
      </c>
      <c r="B57" s="3">
        <v>2.88</v>
      </c>
      <c r="C57" s="3">
        <v>28.649536821320996</v>
      </c>
      <c r="D57" s="3">
        <v>57.162693826439003</v>
      </c>
      <c r="E57" s="3">
        <v>6718.1447938810961</v>
      </c>
      <c r="F57" s="3">
        <v>0.39826146475520002</v>
      </c>
    </row>
    <row r="58" spans="1:6" x14ac:dyDescent="0.3">
      <c r="A58" s="3" t="s">
        <v>52</v>
      </c>
      <c r="B58" s="3">
        <v>3.1</v>
      </c>
      <c r="C58" s="3">
        <v>19.1691345676</v>
      </c>
      <c r="D58" s="3">
        <v>4.4547723100000001</v>
      </c>
      <c r="E58" s="3">
        <v>3456.7896521236303</v>
      </c>
      <c r="F58" s="3">
        <v>2.4854646959840001</v>
      </c>
    </row>
    <row r="59" spans="1:6" x14ac:dyDescent="0.3">
      <c r="A59" s="3" t="s">
        <v>53</v>
      </c>
      <c r="B59" s="3">
        <v>2.7</v>
      </c>
      <c r="C59" s="3">
        <v>28.791855191487194</v>
      </c>
      <c r="D59" s="3">
        <v>79.812265178786618</v>
      </c>
      <c r="E59" s="3">
        <v>5319.7195268687956</v>
      </c>
      <c r="F59" s="3">
        <v>2.3187856682899999</v>
      </c>
    </row>
    <row r="60" spans="1:6" x14ac:dyDescent="0.3">
      <c r="A60" s="3" t="s">
        <v>54</v>
      </c>
      <c r="B60" s="3">
        <v>2.2999999999999998</v>
      </c>
      <c r="C60" s="3">
        <v>37.845825137929999</v>
      </c>
      <c r="D60" s="3">
        <v>6.688662681337</v>
      </c>
      <c r="E60" s="3">
        <v>6788.3527163837589</v>
      </c>
      <c r="F60" s="3">
        <v>1.1346555239989</v>
      </c>
    </row>
    <row r="61" spans="1:6" x14ac:dyDescent="0.3">
      <c r="A61" s="3" t="s">
        <v>56</v>
      </c>
      <c r="B61" s="3">
        <v>3.6</v>
      </c>
      <c r="C61" s="3">
        <v>77.774659719829998</v>
      </c>
      <c r="D61" s="3">
        <v>154.59261711114905</v>
      </c>
      <c r="E61" s="3">
        <v>3264.6488556999998</v>
      </c>
      <c r="F61" s="3">
        <v>12.54812828973</v>
      </c>
    </row>
    <row r="62" spans="1:6" x14ac:dyDescent="0.3">
      <c r="A62" s="3" t="s">
        <v>252</v>
      </c>
      <c r="B62" s="3">
        <v>2.42</v>
      </c>
      <c r="C62" s="3">
        <v>48.512233379439998</v>
      </c>
      <c r="D62" s="3">
        <v>99.724611815616996</v>
      </c>
      <c r="E62" s="3">
        <v>3755.5211123246368</v>
      </c>
      <c r="F62" s="3">
        <v>0.6877271441635</v>
      </c>
    </row>
    <row r="63" spans="1:6" x14ac:dyDescent="0.3">
      <c r="A63" s="3" t="s">
        <v>57</v>
      </c>
      <c r="B63" s="3">
        <v>2.4</v>
      </c>
      <c r="C63" s="3">
        <v>6.5959182952289996</v>
      </c>
      <c r="D63" s="3">
        <v>2.5982157145999998</v>
      </c>
      <c r="E63" s="3">
        <v>155.819159361</v>
      </c>
      <c r="F63" s="3">
        <v>2.4146315356827999</v>
      </c>
    </row>
    <row r="64" spans="1:6" hidden="1" x14ac:dyDescent="0.3">
      <c r="A64" s="3" t="s">
        <v>198</v>
      </c>
      <c r="C64" s="3">
        <v>57.194758346523358</v>
      </c>
      <c r="D64" s="3">
        <v>113.336478359</v>
      </c>
      <c r="E64" s="3">
        <v>72486.691957956995</v>
      </c>
    </row>
    <row r="65" spans="1:6" x14ac:dyDescent="0.3">
      <c r="A65" s="3" t="s">
        <v>58</v>
      </c>
      <c r="B65" s="3">
        <v>2.2999999999999998</v>
      </c>
      <c r="C65" s="3">
        <v>57.569787682940003</v>
      </c>
      <c r="D65" s="3">
        <v>126.28213451517</v>
      </c>
      <c r="E65" s="3">
        <v>5926.2586394763002</v>
      </c>
      <c r="F65" s="3">
        <v>1.6537389445564776</v>
      </c>
    </row>
    <row r="66" spans="1:6" x14ac:dyDescent="0.3">
      <c r="A66" s="3" t="s">
        <v>59</v>
      </c>
      <c r="B66" s="3">
        <v>4.2</v>
      </c>
      <c r="C66" s="3">
        <v>42.768447464332155</v>
      </c>
      <c r="D66" s="3">
        <v>85.514184721891539</v>
      </c>
      <c r="E66" s="3">
        <v>52864.693158121634</v>
      </c>
      <c r="F66" s="3">
        <v>-0.38889573182600001</v>
      </c>
    </row>
    <row r="67" spans="1:6" x14ac:dyDescent="0.3">
      <c r="A67" s="3" t="s">
        <v>60</v>
      </c>
      <c r="B67" s="3">
        <v>3.9</v>
      </c>
      <c r="C67" s="3">
        <v>34.456256877884158</v>
      </c>
      <c r="D67" s="3">
        <v>7.6261456122500002</v>
      </c>
      <c r="E67" s="3">
        <v>447.1384177544</v>
      </c>
      <c r="F67" s="3">
        <v>0.59645175611400003</v>
      </c>
    </row>
    <row r="68" spans="1:6" hidden="1" x14ac:dyDescent="0.3">
      <c r="A68" s="3" t="s">
        <v>243</v>
      </c>
      <c r="C68" s="3">
        <v>24.67921742343</v>
      </c>
      <c r="D68" s="3">
        <v>71.672237652269999</v>
      </c>
      <c r="E68" s="3">
        <v>21832.283179556853</v>
      </c>
      <c r="F68" s="3">
        <v>-0.15843186262469999</v>
      </c>
    </row>
    <row r="69" spans="1:6" x14ac:dyDescent="0.3">
      <c r="A69" s="3" t="s">
        <v>61</v>
      </c>
      <c r="B69" s="3">
        <v>2.4</v>
      </c>
      <c r="C69" s="3">
        <v>63.728277779667351</v>
      </c>
      <c r="D69" s="3">
        <v>91.478653317914365</v>
      </c>
      <c r="E69" s="3">
        <v>782.82433276137999</v>
      </c>
      <c r="F69" s="3">
        <v>5.9351722557589879</v>
      </c>
    </row>
    <row r="70" spans="1:6" x14ac:dyDescent="0.3">
      <c r="A70" s="3" t="s">
        <v>62</v>
      </c>
      <c r="B70" s="3">
        <v>2.2999999999999998</v>
      </c>
      <c r="C70" s="3">
        <v>7.5322372954979997</v>
      </c>
      <c r="D70" s="3">
        <v>39.962173467122</v>
      </c>
      <c r="E70" s="3">
        <v>883.24111978926999</v>
      </c>
      <c r="F70" s="3">
        <v>8.6279954845680997</v>
      </c>
    </row>
    <row r="71" spans="1:6" x14ac:dyDescent="0.3">
      <c r="A71" s="3" t="s">
        <v>63</v>
      </c>
      <c r="B71" s="3">
        <v>2.7</v>
      </c>
      <c r="C71" s="3">
        <v>49.267598313657999</v>
      </c>
      <c r="D71" s="3">
        <v>17.151179161579002</v>
      </c>
      <c r="E71" s="3">
        <v>8283.6696652260998</v>
      </c>
      <c r="F71" s="3">
        <v>6.8622668327199996</v>
      </c>
    </row>
    <row r="72" spans="1:6" x14ac:dyDescent="0.3">
      <c r="A72" s="3" t="s">
        <v>64</v>
      </c>
      <c r="B72" s="3">
        <v>4.0999999999999996</v>
      </c>
      <c r="C72" s="3">
        <v>42.967262419684737</v>
      </c>
      <c r="D72" s="3">
        <v>81.962548378763358</v>
      </c>
      <c r="E72" s="3">
        <v>54776.766823549093</v>
      </c>
      <c r="F72" s="3">
        <v>1.9921813981276999</v>
      </c>
    </row>
    <row r="73" spans="1:6" x14ac:dyDescent="0.3">
      <c r="A73" s="3" t="s">
        <v>65</v>
      </c>
      <c r="B73" s="3">
        <v>2.5</v>
      </c>
      <c r="C73" s="3">
        <v>31.778164943996</v>
      </c>
      <c r="D73" s="3">
        <v>64.387861531859997</v>
      </c>
      <c r="E73" s="3">
        <v>2383.9414762209999</v>
      </c>
      <c r="F73" s="3">
        <v>1.6379428218412999</v>
      </c>
    </row>
    <row r="74" spans="1:6" x14ac:dyDescent="0.3">
      <c r="A74" s="3" t="s">
        <v>66</v>
      </c>
      <c r="B74" s="3">
        <v>3.7</v>
      </c>
      <c r="C74" s="3">
        <v>43.838838465612348</v>
      </c>
      <c r="D74" s="3">
        <v>92.471882947180006</v>
      </c>
      <c r="E74" s="3">
        <v>23343.713964562001</v>
      </c>
      <c r="F74" s="3">
        <v>1.9436677761651118</v>
      </c>
    </row>
    <row r="75" spans="1:6" hidden="1" x14ac:dyDescent="0.3">
      <c r="A75" s="3" t="s">
        <v>201</v>
      </c>
      <c r="C75" s="3">
        <v>4.7986421686950003</v>
      </c>
      <c r="D75" s="3">
        <v>91.89994375821</v>
      </c>
      <c r="E75" s="3">
        <v>58498.977973690002</v>
      </c>
    </row>
    <row r="76" spans="1:6" hidden="1" x14ac:dyDescent="0.3">
      <c r="A76" s="3" t="s">
        <v>67</v>
      </c>
      <c r="B76" s="3">
        <v>2.5</v>
      </c>
      <c r="E76" s="3">
        <v>11414.478169118118</v>
      </c>
      <c r="F76" s="3">
        <v>16.487317512533</v>
      </c>
    </row>
    <row r="77" spans="1:6" x14ac:dyDescent="0.3">
      <c r="A77" s="3" t="s">
        <v>68</v>
      </c>
      <c r="B77" s="3">
        <v>2.6</v>
      </c>
      <c r="C77" s="3">
        <v>16.61749871424</v>
      </c>
      <c r="D77" s="3">
        <v>48.329797847259144</v>
      </c>
      <c r="E77" s="3">
        <v>5754.4283399847</v>
      </c>
      <c r="F77" s="3">
        <v>1.5823175223988999</v>
      </c>
    </row>
    <row r="78" spans="1:6" x14ac:dyDescent="0.3">
      <c r="A78" s="3" t="s">
        <v>69</v>
      </c>
      <c r="B78" s="3">
        <v>2.5</v>
      </c>
      <c r="C78" s="3">
        <v>44.132634929890003</v>
      </c>
      <c r="D78" s="3">
        <v>95.829526758226962</v>
      </c>
      <c r="E78" s="3">
        <v>1555.4937586860999</v>
      </c>
      <c r="F78" s="3">
        <v>5.8682281332221002</v>
      </c>
    </row>
    <row r="79" spans="1:6" x14ac:dyDescent="0.3">
      <c r="A79" s="3" t="s">
        <v>70</v>
      </c>
      <c r="B79" s="3">
        <v>2.6</v>
      </c>
      <c r="C79" s="3">
        <v>13.741398325700001</v>
      </c>
      <c r="D79" s="3">
        <v>42.435151524276002</v>
      </c>
      <c r="E79" s="3">
        <v>964.4318326653954</v>
      </c>
      <c r="F79" s="3">
        <v>1.2122351361357</v>
      </c>
    </row>
    <row r="80" spans="1:6" hidden="1" x14ac:dyDescent="0.3">
      <c r="A80" s="3" t="s">
        <v>71</v>
      </c>
      <c r="B80" s="3">
        <v>2.4</v>
      </c>
      <c r="E80" s="3">
        <v>2473.7219617000001</v>
      </c>
      <c r="F80" s="3">
        <v>-6.7884466235382996</v>
      </c>
    </row>
    <row r="81" spans="1:6" x14ac:dyDescent="0.3">
      <c r="A81" s="3" t="s">
        <v>72</v>
      </c>
      <c r="B81" s="3">
        <v>2.1</v>
      </c>
      <c r="C81" s="3">
        <v>3.1996218811369999</v>
      </c>
      <c r="D81" s="3">
        <v>25.247898494179065</v>
      </c>
      <c r="E81" s="3">
        <v>1681.8447667590001</v>
      </c>
      <c r="F81" s="3">
        <v>0.128234771512</v>
      </c>
    </row>
    <row r="82" spans="1:6" x14ac:dyDescent="0.3">
      <c r="A82" s="3" t="s">
        <v>73</v>
      </c>
      <c r="B82" s="3">
        <v>2.9</v>
      </c>
      <c r="C82" s="3">
        <v>37.368684713718999</v>
      </c>
      <c r="D82" s="3">
        <v>98.791979833636489</v>
      </c>
      <c r="E82" s="3">
        <v>3227.4576259775999</v>
      </c>
      <c r="F82" s="3">
        <v>1.6838124542466999</v>
      </c>
    </row>
    <row r="83" spans="1:6" x14ac:dyDescent="0.3">
      <c r="A83" s="3" t="s">
        <v>74</v>
      </c>
      <c r="B83" s="3">
        <v>4</v>
      </c>
      <c r="C83" s="3">
        <v>176.85419678586882</v>
      </c>
      <c r="D83" s="3">
        <v>353.19468941299999</v>
      </c>
      <c r="E83" s="3">
        <v>5525.1119312663004</v>
      </c>
      <c r="F83" s="3">
        <v>32.372431849549997</v>
      </c>
    </row>
    <row r="84" spans="1:6" x14ac:dyDescent="0.3">
      <c r="A84" s="3" t="s">
        <v>75</v>
      </c>
      <c r="B84" s="3">
        <v>3.2</v>
      </c>
      <c r="C84" s="3">
        <v>81.387489351555999</v>
      </c>
      <c r="D84" s="3">
        <v>158.61882567913</v>
      </c>
      <c r="E84" s="3">
        <v>2228.6598246600001</v>
      </c>
      <c r="F84" s="3">
        <v>-33.279947178163241</v>
      </c>
    </row>
    <row r="85" spans="1:6" x14ac:dyDescent="0.3">
      <c r="A85" s="3" t="s">
        <v>76</v>
      </c>
      <c r="B85" s="3">
        <v>3.6</v>
      </c>
      <c r="C85" s="3">
        <v>43.974592595120001</v>
      </c>
      <c r="D85" s="3">
        <v>87.238881922275993</v>
      </c>
      <c r="E85" s="3">
        <v>8221.2985187800004</v>
      </c>
      <c r="F85" s="3">
        <v>5.9623425511569996</v>
      </c>
    </row>
    <row r="86" spans="1:6" x14ac:dyDescent="0.3">
      <c r="A86" s="3" t="s">
        <v>77</v>
      </c>
      <c r="B86" s="3">
        <v>3.4</v>
      </c>
      <c r="C86" s="3">
        <v>22.354819667329998</v>
      </c>
      <c r="D86" s="3">
        <v>46.322952582337997</v>
      </c>
      <c r="E86" s="3">
        <v>2434.4482634988999</v>
      </c>
      <c r="F86" s="3">
        <v>0.82254995836755995</v>
      </c>
    </row>
    <row r="87" spans="1:6" x14ac:dyDescent="0.3">
      <c r="A87" s="3" t="s">
        <v>78</v>
      </c>
      <c r="B87" s="3">
        <v>3</v>
      </c>
      <c r="C87" s="3">
        <v>21.885632197562</v>
      </c>
      <c r="D87" s="3">
        <v>41.464765447232999</v>
      </c>
      <c r="E87" s="3">
        <v>4876.2992959842977</v>
      </c>
      <c r="F87" s="3">
        <v>1.5711696648747</v>
      </c>
    </row>
    <row r="88" spans="1:6" x14ac:dyDescent="0.3">
      <c r="A88" s="3" t="s">
        <v>79</v>
      </c>
      <c r="B88" s="3">
        <v>2.2999999999999998</v>
      </c>
      <c r="C88" s="3">
        <v>23.921647554235744</v>
      </c>
      <c r="D88" s="3">
        <v>49.393559623000002</v>
      </c>
      <c r="E88" s="3">
        <v>549.29931642754002</v>
      </c>
      <c r="F88" s="3">
        <v>0.318854888419</v>
      </c>
    </row>
    <row r="89" spans="1:6" x14ac:dyDescent="0.3">
      <c r="A89" s="3" t="s">
        <v>80</v>
      </c>
      <c r="B89" s="3">
        <v>2.4</v>
      </c>
      <c r="C89" s="3">
        <v>39.631232244300001</v>
      </c>
      <c r="D89" s="3">
        <v>69.461327991670004</v>
      </c>
      <c r="E89" s="3">
        <v>5965.3183577761001</v>
      </c>
      <c r="F89" s="3">
        <v>-1.994748223132619</v>
      </c>
    </row>
    <row r="90" spans="1:6" x14ac:dyDescent="0.3">
      <c r="A90" s="3" t="s">
        <v>81</v>
      </c>
      <c r="B90" s="3">
        <v>3.6</v>
      </c>
      <c r="C90" s="3">
        <v>136.52636667410977</v>
      </c>
      <c r="D90" s="3">
        <v>239.64962758511086</v>
      </c>
      <c r="E90" s="3">
        <v>16818.9171384</v>
      </c>
      <c r="F90" s="3">
        <v>-24.672589536419999</v>
      </c>
    </row>
    <row r="91" spans="1:6" hidden="1" x14ac:dyDescent="0.3">
      <c r="A91" s="3" t="s">
        <v>210</v>
      </c>
      <c r="E91" s="3">
        <v>915.27423439799998</v>
      </c>
    </row>
    <row r="92" spans="1:6" x14ac:dyDescent="0.3">
      <c r="A92" s="3" t="s">
        <v>82</v>
      </c>
      <c r="B92" s="3">
        <v>3.6</v>
      </c>
      <c r="C92" s="3">
        <v>3.3284744139660001</v>
      </c>
      <c r="D92" s="3">
        <v>57.977782328645041</v>
      </c>
      <c r="E92" s="3">
        <v>52126.448928329999</v>
      </c>
      <c r="F92" s="3">
        <v>3.1496899145939632</v>
      </c>
    </row>
    <row r="93" spans="1:6" x14ac:dyDescent="0.3">
      <c r="A93" s="3" t="s">
        <v>83</v>
      </c>
      <c r="B93" s="3">
        <v>3.7</v>
      </c>
      <c r="C93" s="3">
        <v>33.329369569238999</v>
      </c>
      <c r="D93" s="3">
        <v>65.12841944198</v>
      </c>
      <c r="E93" s="3">
        <v>39279.699782164018</v>
      </c>
      <c r="F93" s="3">
        <v>1.8136334823925</v>
      </c>
    </row>
    <row r="94" spans="1:6" hidden="1" x14ac:dyDescent="0.3">
      <c r="A94" s="3" t="s">
        <v>84</v>
      </c>
      <c r="B94" s="3">
        <v>2.5</v>
      </c>
      <c r="E94" s="3">
        <v>7542.3985584953998</v>
      </c>
      <c r="F94" s="3">
        <v>2.2989723689499999</v>
      </c>
    </row>
    <row r="95" spans="1:6" x14ac:dyDescent="0.3">
      <c r="A95" s="3" t="s">
        <v>85</v>
      </c>
      <c r="B95" s="3">
        <v>3.9</v>
      </c>
      <c r="C95" s="3">
        <v>21.59311343597</v>
      </c>
      <c r="D95" s="3">
        <v>43.595833827349999</v>
      </c>
      <c r="E95" s="3">
        <v>35215.3535366</v>
      </c>
      <c r="F95" s="3">
        <v>0.45629769864798603</v>
      </c>
    </row>
    <row r="96" spans="1:6" hidden="1" x14ac:dyDescent="0.3">
      <c r="A96" s="3" t="s">
        <v>86</v>
      </c>
      <c r="E96" s="3">
        <v>496.235436639</v>
      </c>
      <c r="F96" s="3">
        <v>3.5748644635923998</v>
      </c>
    </row>
    <row r="97" spans="1:6" x14ac:dyDescent="0.3">
      <c r="A97" s="3" t="s">
        <v>87</v>
      </c>
      <c r="B97" s="3">
        <v>2.7</v>
      </c>
      <c r="C97" s="3">
        <v>34.655774495380001</v>
      </c>
      <c r="D97" s="3">
        <v>62.334283767521001</v>
      </c>
      <c r="E97" s="3">
        <v>12879.427525797384</v>
      </c>
      <c r="F97" s="3">
        <v>2.1858951694272002</v>
      </c>
    </row>
    <row r="98" spans="1:6" x14ac:dyDescent="0.3">
      <c r="A98" s="3" t="s">
        <v>88</v>
      </c>
      <c r="B98" s="3">
        <v>2.81</v>
      </c>
      <c r="C98" s="3">
        <v>16.713344299872087</v>
      </c>
      <c r="D98" s="3">
        <v>4.9337677377556002</v>
      </c>
      <c r="E98" s="3">
        <v>1942.5882756190999</v>
      </c>
      <c r="F98" s="3">
        <v>0.47252123822625403</v>
      </c>
    </row>
    <row r="99" spans="1:6" hidden="1" x14ac:dyDescent="0.3">
      <c r="A99" s="3" t="s">
        <v>212</v>
      </c>
      <c r="C99" s="3">
        <v>5.8583169366744192</v>
      </c>
      <c r="D99" s="3">
        <v>16.479772486800002</v>
      </c>
      <c r="E99" s="3">
        <v>22.689186142890001</v>
      </c>
      <c r="F99" s="3">
        <v>1.7522695422400001</v>
      </c>
    </row>
    <row r="100" spans="1:6" x14ac:dyDescent="0.3">
      <c r="A100" s="3" t="s">
        <v>89</v>
      </c>
      <c r="B100" s="3">
        <v>3.8</v>
      </c>
      <c r="C100" s="3">
        <v>41.321487367697003</v>
      </c>
      <c r="D100" s="3">
        <v>82.258971662899995</v>
      </c>
      <c r="E100" s="3">
        <v>35674.959956320003</v>
      </c>
      <c r="F100" s="3">
        <v>1.3221435142435001</v>
      </c>
    </row>
    <row r="101" spans="1:6" hidden="1" x14ac:dyDescent="0.3">
      <c r="A101" s="3" t="s">
        <v>271</v>
      </c>
      <c r="C101" s="3">
        <v>39.644756667999999</v>
      </c>
      <c r="D101" s="3">
        <v>19.951851577919999</v>
      </c>
      <c r="E101" s="3">
        <v>622.33213919343996</v>
      </c>
      <c r="F101" s="3">
        <v>8.6813783954773491</v>
      </c>
    </row>
    <row r="102" spans="1:6" x14ac:dyDescent="0.3">
      <c r="A102" s="3" t="s">
        <v>90</v>
      </c>
      <c r="B102" s="3">
        <v>3.2</v>
      </c>
      <c r="C102" s="3">
        <v>57.726231743600003</v>
      </c>
      <c r="D102" s="3">
        <v>96.343596931619999</v>
      </c>
      <c r="E102" s="3">
        <v>3491.9714813199998</v>
      </c>
      <c r="F102" s="3">
        <v>1.27799431796</v>
      </c>
    </row>
    <row r="103" spans="1:6" x14ac:dyDescent="0.3">
      <c r="A103" s="3" t="s">
        <v>91</v>
      </c>
      <c r="B103" s="3">
        <v>2.2999999999999998</v>
      </c>
      <c r="C103" s="3">
        <v>36.888223253582062</v>
      </c>
      <c r="D103" s="3">
        <v>132.37343912335999</v>
      </c>
      <c r="E103" s="3">
        <v>2138.2221211478</v>
      </c>
      <c r="F103" s="3">
        <v>1.4867156934100001</v>
      </c>
    </row>
    <row r="104" spans="1:6" hidden="1" x14ac:dyDescent="0.3">
      <c r="A104" s="3" t="s">
        <v>92</v>
      </c>
      <c r="B104" s="3">
        <v>2.4</v>
      </c>
      <c r="E104" s="3">
        <v>266.94979776957001</v>
      </c>
      <c r="F104" s="3">
        <v>11.24256395948</v>
      </c>
    </row>
    <row r="105" spans="1:6" x14ac:dyDescent="0.3">
      <c r="A105" s="3" t="s">
        <v>93</v>
      </c>
      <c r="B105" s="3">
        <v>3.5</v>
      </c>
      <c r="C105" s="3">
        <v>65.989655148271467</v>
      </c>
      <c r="D105" s="3">
        <v>135.64298915426642</v>
      </c>
      <c r="E105" s="3">
        <v>2271.2637544197</v>
      </c>
      <c r="F105" s="3">
        <v>3.9483779361871001</v>
      </c>
    </row>
    <row r="106" spans="1:6" x14ac:dyDescent="0.3">
      <c r="A106" s="3" t="s">
        <v>94</v>
      </c>
      <c r="B106" s="3">
        <v>2.4</v>
      </c>
      <c r="C106" s="3">
        <v>3.5514119674734999</v>
      </c>
      <c r="D106" s="3">
        <v>14.264169182</v>
      </c>
      <c r="E106" s="3">
        <v>3477.7248984268376</v>
      </c>
      <c r="F106" s="3">
        <v>3.2643546738912712</v>
      </c>
    </row>
    <row r="107" spans="1:6" x14ac:dyDescent="0.3">
      <c r="A107" s="3" t="s">
        <v>95</v>
      </c>
      <c r="B107" s="3">
        <v>2.2799999999999998</v>
      </c>
      <c r="C107" s="3">
        <v>42.682978781486</v>
      </c>
      <c r="D107" s="3">
        <v>14.722487877528</v>
      </c>
      <c r="E107" s="3">
        <v>921.43514155755997</v>
      </c>
      <c r="F107" s="3">
        <v>-1.2419551531999999</v>
      </c>
    </row>
    <row r="108" spans="1:6" hidden="1" x14ac:dyDescent="0.3">
      <c r="A108" s="3" t="s">
        <v>96</v>
      </c>
      <c r="B108" s="3">
        <v>2.4</v>
      </c>
      <c r="E108" s="3">
        <v>799.19447229642003</v>
      </c>
      <c r="F108" s="3">
        <v>7.1134742965831004</v>
      </c>
    </row>
    <row r="109" spans="1:6" x14ac:dyDescent="0.3">
      <c r="A109" s="3" t="s">
        <v>97</v>
      </c>
      <c r="B109" s="3">
        <v>1.9</v>
      </c>
      <c r="C109" s="3">
        <v>85.613296899999995</v>
      </c>
      <c r="D109" s="3">
        <v>161.723269722</v>
      </c>
      <c r="E109" s="3">
        <v>626.51518788119995</v>
      </c>
      <c r="F109" s="3">
        <v>1.85147243983</v>
      </c>
    </row>
    <row r="110" spans="1:6" hidden="1" x14ac:dyDescent="0.3">
      <c r="A110" s="3" t="s">
        <v>219</v>
      </c>
      <c r="E110" s="3">
        <v>2678.5935338499999</v>
      </c>
    </row>
    <row r="111" spans="1:6" x14ac:dyDescent="0.3">
      <c r="A111" s="3" t="s">
        <v>98</v>
      </c>
      <c r="B111" s="3">
        <v>3.4</v>
      </c>
      <c r="C111" s="3">
        <v>75.933513171116019</v>
      </c>
      <c r="D111" s="3">
        <v>147.99751776427999</v>
      </c>
      <c r="E111" s="3">
        <v>27983.365825688685</v>
      </c>
      <c r="F111" s="3">
        <v>4.7676451451377</v>
      </c>
    </row>
    <row r="112" spans="1:6" x14ac:dyDescent="0.3">
      <c r="A112" s="3" t="s">
        <v>99</v>
      </c>
      <c r="B112" s="3">
        <v>3.6</v>
      </c>
      <c r="C112" s="3">
        <v>217.37982258397838</v>
      </c>
      <c r="D112" s="3">
        <v>42.566968197344998</v>
      </c>
      <c r="E112" s="3">
        <v>13323.619178899</v>
      </c>
      <c r="F112" s="3">
        <v>-1.4511316835125001</v>
      </c>
    </row>
    <row r="113" spans="1:6" hidden="1" x14ac:dyDescent="0.3">
      <c r="A113" s="3" t="s">
        <v>223</v>
      </c>
      <c r="C113" s="3">
        <v>92.417435765852005</v>
      </c>
      <c r="D113" s="3">
        <v>145.8744672523267</v>
      </c>
      <c r="E113" s="3">
        <v>67216.363111212369</v>
      </c>
      <c r="F113" s="3">
        <v>2.5885989993949998</v>
      </c>
    </row>
    <row r="114" spans="1:6" x14ac:dyDescent="0.3">
      <c r="A114" s="3" t="s">
        <v>100</v>
      </c>
      <c r="B114" s="3">
        <v>2.2999999999999998</v>
      </c>
      <c r="C114" s="3">
        <v>26.722886123742672</v>
      </c>
      <c r="D114" s="3">
        <v>62.762214759431231</v>
      </c>
      <c r="E114" s="3">
        <v>514.64765519269997</v>
      </c>
      <c r="F114" s="3">
        <v>3.2395378979970002</v>
      </c>
    </row>
    <row r="115" spans="1:6" x14ac:dyDescent="0.3">
      <c r="A115" s="3" t="s">
        <v>101</v>
      </c>
      <c r="B115" s="3">
        <v>2.59</v>
      </c>
      <c r="C115" s="3">
        <v>11.245363894527999</v>
      </c>
      <c r="D115" s="3">
        <v>42.437668399967002</v>
      </c>
      <c r="E115" s="3">
        <v>633.21476797869502</v>
      </c>
      <c r="F115" s="3">
        <v>1.6161124764599999</v>
      </c>
    </row>
    <row r="116" spans="1:6" x14ac:dyDescent="0.3">
      <c r="A116" s="3" t="s">
        <v>102</v>
      </c>
      <c r="B116" s="3">
        <v>3.6</v>
      </c>
      <c r="C116" s="3">
        <v>68.678953565316817</v>
      </c>
      <c r="D116" s="3">
        <v>132.59346164159942</v>
      </c>
      <c r="E116" s="3">
        <v>11386.395636527999</v>
      </c>
      <c r="F116" s="3">
        <v>1.9799627167430001</v>
      </c>
    </row>
    <row r="117" spans="1:6" hidden="1" x14ac:dyDescent="0.3">
      <c r="A117" s="3" t="s">
        <v>103</v>
      </c>
      <c r="C117" s="3">
        <v>74.437692661116003</v>
      </c>
      <c r="D117" s="3">
        <v>149.34997617743443</v>
      </c>
      <c r="E117" s="3">
        <v>12587.612638651</v>
      </c>
      <c r="F117" s="3">
        <v>11.581845875684458</v>
      </c>
    </row>
    <row r="118" spans="1:6" x14ac:dyDescent="0.3">
      <c r="A118" s="3" t="s">
        <v>104</v>
      </c>
      <c r="B118" s="3">
        <v>2.6</v>
      </c>
      <c r="C118" s="3">
        <v>24.786377529858001</v>
      </c>
      <c r="D118" s="3">
        <v>57.629157226929614</v>
      </c>
      <c r="E118" s="3">
        <v>142.44223444836999</v>
      </c>
      <c r="F118" s="3">
        <v>2.8354248451699999</v>
      </c>
    </row>
    <row r="119" spans="1:6" x14ac:dyDescent="0.3">
      <c r="A119" s="3" t="s">
        <v>105</v>
      </c>
      <c r="B119" s="3">
        <v>3.3</v>
      </c>
      <c r="C119" s="3">
        <v>119.74833691667</v>
      </c>
      <c r="D119" s="3">
        <v>221.13329637559258</v>
      </c>
      <c r="E119" s="3">
        <v>4932.5238774461004</v>
      </c>
      <c r="F119" s="3">
        <v>18.735277772100002</v>
      </c>
    </row>
    <row r="120" spans="1:6" hidden="1" x14ac:dyDescent="0.3">
      <c r="A120" s="3" t="s">
        <v>227</v>
      </c>
      <c r="C120" s="3">
        <v>38.257575757575758</v>
      </c>
      <c r="D120" s="3">
        <v>118.18181818181819</v>
      </c>
      <c r="E120" s="3">
        <v>6799.3921755479432</v>
      </c>
      <c r="F120" s="3">
        <v>3.4656271866571</v>
      </c>
    </row>
    <row r="121" spans="1:6" x14ac:dyDescent="0.3">
      <c r="A121" s="3" t="s">
        <v>106</v>
      </c>
      <c r="B121" s="3">
        <v>2.2999999999999998</v>
      </c>
      <c r="C121" s="3">
        <v>38.479814979799997</v>
      </c>
      <c r="D121" s="3">
        <v>92.165444514674249</v>
      </c>
      <c r="E121" s="3">
        <v>2127.957628597303</v>
      </c>
      <c r="F121" s="3">
        <v>7.9377633557909997</v>
      </c>
    </row>
    <row r="122" spans="1:6" x14ac:dyDescent="0.3">
      <c r="A122" s="3" t="s">
        <v>107</v>
      </c>
      <c r="B122" s="3">
        <v>2.5</v>
      </c>
      <c r="C122" s="3">
        <v>69.411453593640005</v>
      </c>
      <c r="D122" s="3">
        <v>147.32139212885198</v>
      </c>
      <c r="E122" s="3">
        <v>11269.968446213859</v>
      </c>
      <c r="F122" s="3">
        <v>5.3996313399295</v>
      </c>
    </row>
    <row r="123" spans="1:6" x14ac:dyDescent="0.3">
      <c r="A123" s="3" t="s">
        <v>108</v>
      </c>
      <c r="B123" s="3">
        <v>2.9</v>
      </c>
      <c r="C123" s="3">
        <v>36.147934367569</v>
      </c>
      <c r="D123" s="3">
        <v>73.739758255664</v>
      </c>
      <c r="E123" s="3">
        <v>1383.8438488639999</v>
      </c>
      <c r="F123" s="3">
        <v>1.7993817486100001</v>
      </c>
    </row>
    <row r="124" spans="1:6" hidden="1" x14ac:dyDescent="0.3">
      <c r="A124" s="3" t="s">
        <v>199</v>
      </c>
      <c r="C124" s="3">
        <v>22.123114681711588</v>
      </c>
      <c r="D124" s="3">
        <v>95.264847722683001</v>
      </c>
      <c r="E124" s="3">
        <v>3933.1673187400002</v>
      </c>
    </row>
    <row r="125" spans="1:6" x14ac:dyDescent="0.3">
      <c r="A125" s="3" t="s">
        <v>109</v>
      </c>
      <c r="B125" s="3">
        <v>2.5</v>
      </c>
      <c r="C125" s="3">
        <v>35.112585786126161</v>
      </c>
      <c r="D125" s="3">
        <v>93.994621148852005</v>
      </c>
      <c r="E125" s="3">
        <v>6799.5859464457562</v>
      </c>
      <c r="F125" s="3">
        <v>2.1595189914844002</v>
      </c>
    </row>
    <row r="126" spans="1:6" hidden="1" x14ac:dyDescent="0.3">
      <c r="A126" s="3" t="s">
        <v>225</v>
      </c>
      <c r="E126" s="3">
        <v>256799.91121250999</v>
      </c>
    </row>
    <row r="127" spans="1:6" x14ac:dyDescent="0.3">
      <c r="A127" s="3" t="s">
        <v>110</v>
      </c>
      <c r="B127" s="3">
        <v>2.5</v>
      </c>
      <c r="C127" s="3">
        <v>76.257117127924005</v>
      </c>
      <c r="D127" s="3">
        <v>142.8642465991814</v>
      </c>
      <c r="E127" s="3">
        <v>5838.6318839200003</v>
      </c>
      <c r="F127" s="3">
        <v>11.58169914836</v>
      </c>
    </row>
    <row r="128" spans="1:6" x14ac:dyDescent="0.3">
      <c r="A128" s="3" t="s">
        <v>111</v>
      </c>
      <c r="B128" s="3">
        <v>2.8</v>
      </c>
      <c r="C128" s="3">
        <v>49.229236319400002</v>
      </c>
      <c r="D128" s="3">
        <v>116.86669538328999</v>
      </c>
      <c r="E128" s="3">
        <v>12258.164773390001</v>
      </c>
      <c r="F128" s="3">
        <v>6.8811329539669996</v>
      </c>
    </row>
    <row r="129" spans="1:6" hidden="1" x14ac:dyDescent="0.3">
      <c r="A129" s="3" t="s">
        <v>112</v>
      </c>
      <c r="C129" s="3">
        <v>42.417633594568997</v>
      </c>
      <c r="D129" s="3">
        <v>93.117884417977749</v>
      </c>
      <c r="E129" s="3">
        <v>3813.7267421874999</v>
      </c>
      <c r="F129" s="3">
        <v>0.72586412267268297</v>
      </c>
    </row>
    <row r="130" spans="1:6" hidden="1" x14ac:dyDescent="0.3">
      <c r="A130" s="3" t="s">
        <v>113</v>
      </c>
      <c r="C130" s="3">
        <v>45.629639861000001</v>
      </c>
      <c r="D130" s="3">
        <v>16.2683626657</v>
      </c>
      <c r="E130" s="3">
        <v>622.19113324596674</v>
      </c>
      <c r="F130" s="3">
        <v>12.822871755775925</v>
      </c>
    </row>
    <row r="131" spans="1:6" hidden="1" x14ac:dyDescent="0.3">
      <c r="A131" s="3" t="s">
        <v>114</v>
      </c>
      <c r="E131" s="3">
        <v>1233.1966629269</v>
      </c>
      <c r="F131" s="3">
        <v>2.2771513166160999</v>
      </c>
    </row>
    <row r="132" spans="1:6" x14ac:dyDescent="0.3">
      <c r="A132" s="3" t="s">
        <v>115</v>
      </c>
      <c r="B132" s="3">
        <v>2.9</v>
      </c>
      <c r="C132" s="3">
        <v>43.284616772667668</v>
      </c>
      <c r="D132" s="3">
        <v>19.817599673</v>
      </c>
      <c r="E132" s="3">
        <v>4225.9912418120002</v>
      </c>
      <c r="F132" s="3">
        <v>18.322742614294999</v>
      </c>
    </row>
    <row r="133" spans="1:6" hidden="1" x14ac:dyDescent="0.3">
      <c r="A133" s="3" t="s">
        <v>233</v>
      </c>
      <c r="C133" s="3">
        <v>4.8333333333333002</v>
      </c>
      <c r="D133" s="3">
        <v>135</v>
      </c>
      <c r="E133" s="3">
        <v>1362.6372112893</v>
      </c>
      <c r="F133" s="3">
        <v>0.89536494877176998</v>
      </c>
    </row>
    <row r="134" spans="1:6" x14ac:dyDescent="0.3">
      <c r="A134" s="3" t="s">
        <v>116</v>
      </c>
      <c r="B134" s="3">
        <v>2.5</v>
      </c>
      <c r="C134" s="3">
        <v>7.5967288613599999</v>
      </c>
      <c r="D134" s="3">
        <v>41.571529324670003</v>
      </c>
      <c r="E134" s="3">
        <v>1382.383895424</v>
      </c>
      <c r="F134" s="3">
        <v>0.18227214989516999</v>
      </c>
    </row>
    <row r="135" spans="1:6" x14ac:dyDescent="0.3">
      <c r="A135" s="3" t="s">
        <v>117</v>
      </c>
      <c r="B135" s="3">
        <v>4.0999999999999996</v>
      </c>
      <c r="C135" s="3">
        <v>87.486612893794998</v>
      </c>
      <c r="D135" s="3">
        <v>165.34294789329999</v>
      </c>
      <c r="E135" s="3">
        <v>63515.637819000003</v>
      </c>
      <c r="F135" s="3">
        <v>-3.2437329655920002</v>
      </c>
    </row>
    <row r="136" spans="1:6" hidden="1" x14ac:dyDescent="0.3">
      <c r="A136" s="3" t="s">
        <v>232</v>
      </c>
      <c r="C136" s="3">
        <v>16.937354611132001</v>
      </c>
      <c r="D136" s="3">
        <v>51.637347217689999</v>
      </c>
      <c r="E136" s="3">
        <v>3371.8923322781002</v>
      </c>
      <c r="F136" s="3">
        <v>7.3488478286610004</v>
      </c>
    </row>
    <row r="137" spans="1:6" x14ac:dyDescent="0.3">
      <c r="A137" s="3" t="s">
        <v>118</v>
      </c>
      <c r="B137" s="3">
        <v>3.6</v>
      </c>
      <c r="C137" s="3">
        <v>23.63317125</v>
      </c>
      <c r="D137" s="3">
        <v>49.865541498497002</v>
      </c>
      <c r="E137" s="3">
        <v>4932.3418764930002</v>
      </c>
      <c r="F137" s="3">
        <v>1.714263785345409</v>
      </c>
    </row>
    <row r="138" spans="1:6" x14ac:dyDescent="0.3">
      <c r="A138" s="3" t="s">
        <v>119</v>
      </c>
      <c r="B138" s="3">
        <v>2.5</v>
      </c>
      <c r="C138" s="3">
        <v>45.865895323571998</v>
      </c>
      <c r="D138" s="3">
        <v>15.19535579852</v>
      </c>
      <c r="E138" s="3">
        <v>269.44491147974998</v>
      </c>
      <c r="F138" s="3">
        <v>6.2558119194242634</v>
      </c>
    </row>
    <row r="139" spans="1:6" x14ac:dyDescent="0.3">
      <c r="A139" s="3" t="s">
        <v>120</v>
      </c>
      <c r="B139" s="3">
        <v>2.19</v>
      </c>
      <c r="C139" s="3">
        <v>8.2511648671873896</v>
      </c>
      <c r="D139" s="3">
        <v>3.7176535695599999</v>
      </c>
      <c r="E139" s="3">
        <v>647.93185956699995</v>
      </c>
      <c r="F139" s="3">
        <v>6.5546224617000002</v>
      </c>
    </row>
    <row r="140" spans="1:6" hidden="1" x14ac:dyDescent="0.3">
      <c r="A140" s="3" t="s">
        <v>121</v>
      </c>
      <c r="B140" s="3">
        <v>2.6</v>
      </c>
      <c r="E140" s="3">
        <v>2138.7638371875655</v>
      </c>
      <c r="F140" s="3">
        <v>0.38419519791683598</v>
      </c>
    </row>
    <row r="141" spans="1:6" x14ac:dyDescent="0.3">
      <c r="A141" s="3" t="s">
        <v>122</v>
      </c>
      <c r="B141" s="3">
        <v>3.1</v>
      </c>
      <c r="C141" s="3">
        <v>67.396998458634997</v>
      </c>
      <c r="D141" s="3">
        <v>147.79425348390001</v>
      </c>
      <c r="E141" s="3">
        <v>8674.3584632748534</v>
      </c>
      <c r="F141" s="3">
        <v>4.4619444974300002</v>
      </c>
    </row>
    <row r="142" spans="1:6" x14ac:dyDescent="0.3">
      <c r="A142" s="3" t="s">
        <v>123</v>
      </c>
      <c r="B142" s="3">
        <v>3.7</v>
      </c>
      <c r="C142" s="3">
        <v>46.449617711320002</v>
      </c>
      <c r="D142" s="3">
        <v>77.411895837599999</v>
      </c>
      <c r="E142" s="3">
        <v>9984.4871411109998</v>
      </c>
      <c r="F142" s="3">
        <v>2.7449993797298</v>
      </c>
    </row>
    <row r="143" spans="1:6" x14ac:dyDescent="0.3">
      <c r="A143" s="3" t="s">
        <v>124</v>
      </c>
      <c r="B143" s="3">
        <v>3.3</v>
      </c>
      <c r="C143" s="3">
        <v>61.584342798927999</v>
      </c>
      <c r="D143" s="3">
        <v>16.4467311264</v>
      </c>
      <c r="E143" s="3">
        <v>2127.7384572657002</v>
      </c>
      <c r="F143" s="3">
        <v>11.815792912822866</v>
      </c>
    </row>
    <row r="144" spans="1:6" x14ac:dyDescent="0.3">
      <c r="A144" s="3" t="s">
        <v>125</v>
      </c>
      <c r="B144" s="3">
        <v>2.8</v>
      </c>
      <c r="C144" s="3">
        <v>1.4939587511564001</v>
      </c>
      <c r="D144" s="3">
        <v>28.467692546983692</v>
      </c>
      <c r="E144" s="3">
        <v>136.32417758419001</v>
      </c>
      <c r="F144" s="3">
        <v>0.68281278262400003</v>
      </c>
    </row>
    <row r="145" spans="1:6" hidden="1" x14ac:dyDescent="0.3">
      <c r="A145" s="3" t="s">
        <v>236</v>
      </c>
      <c r="C145" s="3">
        <v>26.141347554900001</v>
      </c>
      <c r="D145" s="3">
        <v>16.757623549152999</v>
      </c>
      <c r="E145" s="3">
        <v>15578.349763733</v>
      </c>
      <c r="F145" s="3">
        <v>28.939647766539998</v>
      </c>
    </row>
    <row r="146" spans="1:6" x14ac:dyDescent="0.3">
      <c r="A146" s="3" t="s">
        <v>126</v>
      </c>
      <c r="B146" s="3">
        <v>3.1</v>
      </c>
      <c r="C146" s="3">
        <v>45.629244254530001</v>
      </c>
      <c r="D146" s="3">
        <v>88.348915169795006</v>
      </c>
      <c r="E146" s="3">
        <v>18797.193389461059</v>
      </c>
      <c r="F146" s="3">
        <v>3.2638431272317407</v>
      </c>
    </row>
    <row r="147" spans="1:6" hidden="1" x14ac:dyDescent="0.3">
      <c r="A147" s="3" t="s">
        <v>127</v>
      </c>
      <c r="B147" s="3">
        <v>2.7</v>
      </c>
      <c r="E147" s="3">
        <v>2966.645545333</v>
      </c>
      <c r="F147" s="3">
        <v>0.14519954689299999</v>
      </c>
    </row>
    <row r="148" spans="1:6" x14ac:dyDescent="0.3">
      <c r="A148" s="3" t="s">
        <v>128</v>
      </c>
      <c r="B148" s="3">
        <v>2.7</v>
      </c>
      <c r="C148" s="3">
        <v>42.257662716231025</v>
      </c>
      <c r="D148" s="3">
        <v>82.57772522965162</v>
      </c>
      <c r="E148" s="3">
        <v>633.26495172919999</v>
      </c>
      <c r="F148" s="3">
        <v>2.5771913744299999</v>
      </c>
    </row>
    <row r="149" spans="1:6" x14ac:dyDescent="0.3">
      <c r="A149" s="3" t="s">
        <v>129</v>
      </c>
      <c r="B149" s="3">
        <v>3</v>
      </c>
      <c r="C149" s="3">
        <v>27.171618135233</v>
      </c>
      <c r="D149" s="3">
        <v>5.9737213492999999</v>
      </c>
      <c r="E149" s="3">
        <v>7919.4634828546996</v>
      </c>
      <c r="F149" s="3">
        <v>1.6433496973352999</v>
      </c>
    </row>
    <row r="150" spans="1:6" x14ac:dyDescent="0.3">
      <c r="A150" s="3" t="s">
        <v>130</v>
      </c>
      <c r="B150" s="3">
        <v>3.3</v>
      </c>
      <c r="C150" s="3">
        <v>26.636849347584999</v>
      </c>
      <c r="D150" s="3">
        <v>67.419969317165993</v>
      </c>
      <c r="E150" s="3">
        <v>384.8274131718</v>
      </c>
      <c r="F150" s="3">
        <v>2.4213548233600002</v>
      </c>
    </row>
    <row r="151" spans="1:6" x14ac:dyDescent="0.3">
      <c r="A151" s="3" t="s">
        <v>131</v>
      </c>
      <c r="B151" s="3">
        <v>3.6</v>
      </c>
      <c r="C151" s="3">
        <v>57.881271195434003</v>
      </c>
      <c r="D151" s="3">
        <v>11.249354181499999</v>
      </c>
      <c r="E151" s="3">
        <v>22145.266647429002</v>
      </c>
      <c r="F151" s="3">
        <v>4.3891867339545003</v>
      </c>
    </row>
    <row r="152" spans="1:6" x14ac:dyDescent="0.3">
      <c r="A152" s="3" t="s">
        <v>132</v>
      </c>
      <c r="B152" s="3">
        <v>3.4</v>
      </c>
      <c r="C152" s="3">
        <v>47.15547693148816</v>
      </c>
      <c r="D152" s="3">
        <v>93.135853772380003</v>
      </c>
      <c r="E152" s="3">
        <v>27634.618313977298</v>
      </c>
      <c r="F152" s="3">
        <v>3.963254287431238</v>
      </c>
    </row>
    <row r="153" spans="1:6" hidden="1" x14ac:dyDescent="0.3">
      <c r="A153" s="3" t="s">
        <v>238</v>
      </c>
      <c r="C153" s="3">
        <v>53.644877849648999</v>
      </c>
      <c r="D153" s="3">
        <v>11.65755951677</v>
      </c>
      <c r="E153" s="3">
        <v>3698.7653928680002</v>
      </c>
    </row>
    <row r="154" spans="1:6" hidden="1" x14ac:dyDescent="0.3">
      <c r="A154" s="3" t="s">
        <v>133</v>
      </c>
      <c r="B154" s="3">
        <v>3.5</v>
      </c>
      <c r="E154" s="3">
        <v>8195.8746585490007</v>
      </c>
      <c r="F154" s="3">
        <v>-0.22261482167477001</v>
      </c>
    </row>
    <row r="155" spans="1:6" x14ac:dyDescent="0.3">
      <c r="A155" s="3" t="s">
        <v>134</v>
      </c>
      <c r="B155" s="3">
        <v>3.2</v>
      </c>
      <c r="C155" s="3">
        <v>39.24459754628856</v>
      </c>
      <c r="D155" s="3">
        <v>83.375332462231</v>
      </c>
      <c r="E155" s="3">
        <v>18244.418687632093</v>
      </c>
      <c r="F155" s="3">
        <v>2.542686654842</v>
      </c>
    </row>
    <row r="156" spans="1:6" x14ac:dyDescent="0.3">
      <c r="A156" s="3" t="s">
        <v>135</v>
      </c>
      <c r="B156" s="3">
        <v>2.6</v>
      </c>
      <c r="C156" s="3">
        <v>22.769939314297002</v>
      </c>
      <c r="D156" s="3">
        <v>41.339511649293293</v>
      </c>
      <c r="E156" s="3">
        <v>13986.9951171875</v>
      </c>
      <c r="F156" s="3">
        <v>-0.49895498289410001</v>
      </c>
    </row>
    <row r="157" spans="1:6" x14ac:dyDescent="0.3">
      <c r="A157" s="3" t="s">
        <v>136</v>
      </c>
      <c r="B157" s="3">
        <v>2.8</v>
      </c>
      <c r="C157" s="3">
        <v>23.766278177</v>
      </c>
      <c r="D157" s="3">
        <v>66.892583933947179</v>
      </c>
      <c r="E157" s="3">
        <v>161.57881547599999</v>
      </c>
      <c r="F157" s="3">
        <v>3.9831449585410001</v>
      </c>
    </row>
    <row r="158" spans="1:6" hidden="1" x14ac:dyDescent="0.3">
      <c r="A158" s="3" t="s">
        <v>270</v>
      </c>
      <c r="C158" s="3">
        <v>26.285799962900001</v>
      </c>
      <c r="D158" s="3">
        <v>8.8451257977999997</v>
      </c>
      <c r="E158" s="3">
        <v>4822.7484651900004</v>
      </c>
      <c r="F158" s="3">
        <v>0.22929417897832</v>
      </c>
    </row>
    <row r="159" spans="1:6" hidden="1" x14ac:dyDescent="0.3">
      <c r="A159" s="3" t="s">
        <v>245</v>
      </c>
      <c r="C159" s="3">
        <v>185.99279727866613</v>
      </c>
      <c r="D159" s="3">
        <v>34.983411735200001</v>
      </c>
      <c r="E159" s="3">
        <v>59871.328811478001</v>
      </c>
      <c r="F159" s="3">
        <v>-0.89347314783222198</v>
      </c>
    </row>
    <row r="160" spans="1:6" x14ac:dyDescent="0.3">
      <c r="A160" s="3" t="s">
        <v>137</v>
      </c>
      <c r="B160" s="3">
        <v>2.3199999999999998</v>
      </c>
      <c r="C160" s="3">
        <v>14.243821824642</v>
      </c>
      <c r="D160" s="3">
        <v>46.974578733663243</v>
      </c>
      <c r="E160" s="3">
        <v>299.666143535</v>
      </c>
      <c r="F160" s="3">
        <v>-3.7365988496794116</v>
      </c>
    </row>
    <row r="161" spans="1:6" x14ac:dyDescent="0.3">
      <c r="A161" s="3" t="s">
        <v>138</v>
      </c>
      <c r="B161" s="3">
        <v>3.4</v>
      </c>
      <c r="C161" s="3">
        <v>3.755961678442</v>
      </c>
      <c r="D161" s="3">
        <v>55.797468232548667</v>
      </c>
      <c r="E161" s="3">
        <v>36156.856251719997</v>
      </c>
      <c r="F161" s="3">
        <v>1.8713991298946</v>
      </c>
    </row>
    <row r="162" spans="1:6" x14ac:dyDescent="0.3">
      <c r="A162" s="3" t="s">
        <v>139</v>
      </c>
      <c r="B162" s="3">
        <v>2.25</v>
      </c>
      <c r="C162" s="3">
        <v>23.164628813737</v>
      </c>
      <c r="D162" s="3">
        <v>71.594281584682335</v>
      </c>
      <c r="E162" s="3">
        <v>1698.3387384299999</v>
      </c>
      <c r="F162" s="3">
        <v>15.644624417999999</v>
      </c>
    </row>
    <row r="163" spans="1:6" x14ac:dyDescent="0.3">
      <c r="A163" s="3" t="s">
        <v>140</v>
      </c>
      <c r="B163" s="3">
        <v>2.8</v>
      </c>
      <c r="C163" s="3">
        <v>55.746981251960001</v>
      </c>
      <c r="D163" s="3">
        <v>114.4926464322</v>
      </c>
      <c r="E163" s="3">
        <v>12281.779461669999</v>
      </c>
      <c r="F163" s="3">
        <v>6.6995232916300003</v>
      </c>
    </row>
    <row r="164" spans="1:6" hidden="1" x14ac:dyDescent="0.3">
      <c r="A164" s="3" t="s">
        <v>254</v>
      </c>
      <c r="C164" s="3">
        <v>85.561413882593001</v>
      </c>
      <c r="D164" s="3">
        <v>183.84211655333266</v>
      </c>
      <c r="E164" s="3">
        <v>1813.5297135548001</v>
      </c>
      <c r="F164" s="3">
        <v>11.38498865861</v>
      </c>
    </row>
    <row r="165" spans="1:6" x14ac:dyDescent="0.3">
      <c r="A165" s="3" t="s">
        <v>141</v>
      </c>
      <c r="B165" s="3">
        <v>2.08</v>
      </c>
      <c r="C165" s="3">
        <v>2.9636585435779002</v>
      </c>
      <c r="D165" s="3">
        <v>55.286796968766041</v>
      </c>
      <c r="E165" s="3">
        <v>758.32913731888004</v>
      </c>
      <c r="F165" s="3">
        <v>2.2742142469618001</v>
      </c>
    </row>
    <row r="166" spans="1:6" x14ac:dyDescent="0.3">
      <c r="A166" s="3" t="s">
        <v>142</v>
      </c>
      <c r="B166" s="3">
        <v>4.3</v>
      </c>
      <c r="C166" s="3">
        <v>18.431297962999999</v>
      </c>
      <c r="D166" s="3">
        <v>323.712199919</v>
      </c>
      <c r="E166" s="3">
        <v>86382.594992519997</v>
      </c>
      <c r="F166" s="3">
        <v>24.675624563700001</v>
      </c>
    </row>
    <row r="167" spans="1:6" hidden="1" x14ac:dyDescent="0.3">
      <c r="A167" s="3" t="s">
        <v>253</v>
      </c>
      <c r="E167" s="3">
        <v>39451.822911732001</v>
      </c>
      <c r="F167" s="3">
        <v>2.6845161957879999</v>
      </c>
    </row>
    <row r="168" spans="1:6" x14ac:dyDescent="0.3">
      <c r="A168" s="3" t="s">
        <v>143</v>
      </c>
      <c r="B168" s="3">
        <v>3.3</v>
      </c>
      <c r="C168" s="3">
        <v>91.493556132584004</v>
      </c>
      <c r="D168" s="3">
        <v>181.39872356449999</v>
      </c>
      <c r="E168" s="3">
        <v>24614.87346427939</v>
      </c>
      <c r="F168" s="3">
        <v>0.393861455912485</v>
      </c>
    </row>
    <row r="169" spans="1:6" x14ac:dyDescent="0.3">
      <c r="A169" s="3" t="s">
        <v>144</v>
      </c>
      <c r="B169" s="3">
        <v>3.3</v>
      </c>
      <c r="C169" s="3">
        <v>83.438273731363154</v>
      </c>
      <c r="D169" s="3">
        <v>16.159669390000001</v>
      </c>
      <c r="E169" s="3">
        <v>3266.4753581345999</v>
      </c>
      <c r="F169" s="3">
        <v>2.9288931483199998</v>
      </c>
    </row>
    <row r="170" spans="1:6" x14ac:dyDescent="0.3">
      <c r="A170" s="3" t="s">
        <v>145</v>
      </c>
      <c r="B170" s="3">
        <v>2.8</v>
      </c>
      <c r="C170" s="3">
        <v>36.259366478577</v>
      </c>
      <c r="D170" s="3">
        <v>11.134531825762</v>
      </c>
      <c r="E170" s="3">
        <v>1882.6439414842</v>
      </c>
      <c r="F170" s="3">
        <v>5.238375788181</v>
      </c>
    </row>
    <row r="171" spans="1:6" x14ac:dyDescent="0.3">
      <c r="A171" s="3" t="s">
        <v>246</v>
      </c>
      <c r="B171" s="3">
        <v>2</v>
      </c>
      <c r="C171" s="3">
        <v>21.938399156759999</v>
      </c>
      <c r="D171" s="3">
        <v>13.121748311699999</v>
      </c>
      <c r="E171" s="3">
        <v>596.88598513558895</v>
      </c>
      <c r="F171" s="3">
        <v>6.1735718196751233</v>
      </c>
    </row>
    <row r="172" spans="1:6" x14ac:dyDescent="0.3">
      <c r="A172" s="3" t="s">
        <v>146</v>
      </c>
      <c r="B172" s="3">
        <v>3.7</v>
      </c>
      <c r="C172" s="3">
        <v>33.253812755681558</v>
      </c>
      <c r="D172" s="3">
        <v>65.679875974769999</v>
      </c>
      <c r="E172" s="3">
        <v>634.27289646730003</v>
      </c>
      <c r="F172" s="3">
        <v>1.1273779164560001</v>
      </c>
    </row>
    <row r="173" spans="1:6" x14ac:dyDescent="0.3">
      <c r="A173" s="3" t="s">
        <v>147</v>
      </c>
      <c r="B173" s="3">
        <v>3.9</v>
      </c>
      <c r="C173" s="3">
        <v>37.816647649391328</v>
      </c>
      <c r="D173" s="3">
        <v>71.797636655733001</v>
      </c>
      <c r="E173" s="3">
        <v>33493.222549111</v>
      </c>
      <c r="F173" s="3">
        <v>2.8998156531689334</v>
      </c>
    </row>
    <row r="174" spans="1:6" x14ac:dyDescent="0.3">
      <c r="A174" s="3" t="s">
        <v>148</v>
      </c>
      <c r="B174" s="3">
        <v>2.8</v>
      </c>
      <c r="C174" s="3">
        <v>2.5995283672112</v>
      </c>
      <c r="D174" s="3">
        <v>43.347668119513415</v>
      </c>
      <c r="E174" s="3">
        <v>3815.4153176747432</v>
      </c>
      <c r="F174" s="3">
        <v>0.84817767967169999</v>
      </c>
    </row>
    <row r="175" spans="1:6" hidden="1" x14ac:dyDescent="0.3">
      <c r="A175" s="3" t="s">
        <v>213</v>
      </c>
      <c r="E175" s="3">
        <v>22576.924843916589</v>
      </c>
      <c r="F175" s="3">
        <v>2.8263995131450002</v>
      </c>
    </row>
    <row r="176" spans="1:6" hidden="1" x14ac:dyDescent="0.3">
      <c r="A176" s="3" t="s">
        <v>215</v>
      </c>
      <c r="E176" s="3">
        <v>13616.639759373396</v>
      </c>
      <c r="F176" s="3">
        <v>8.3184873246958002</v>
      </c>
    </row>
    <row r="177" spans="1:6" hidden="1" x14ac:dyDescent="0.3">
      <c r="A177" s="3" t="s">
        <v>265</v>
      </c>
      <c r="E177" s="3">
        <v>1582.3656725229</v>
      </c>
      <c r="F177" s="3">
        <v>6.8861246476732543</v>
      </c>
    </row>
    <row r="178" spans="1:6" x14ac:dyDescent="0.3">
      <c r="A178" s="3" t="s">
        <v>149</v>
      </c>
      <c r="B178" s="3">
        <v>2.4</v>
      </c>
      <c r="C178" s="3">
        <v>1.1818593848300001</v>
      </c>
      <c r="D178" s="3">
        <v>2.4737287826766519</v>
      </c>
      <c r="E178" s="3">
        <v>797.283447265625</v>
      </c>
      <c r="F178" s="3">
        <v>1.3739937287934001</v>
      </c>
    </row>
    <row r="179" spans="1:6" hidden="1" x14ac:dyDescent="0.3">
      <c r="A179" s="3" t="s">
        <v>251</v>
      </c>
      <c r="E179" s="3">
        <v>5521.9762122638003</v>
      </c>
      <c r="F179" s="3">
        <v>13.9449275142</v>
      </c>
    </row>
    <row r="180" spans="1:6" x14ac:dyDescent="0.3">
      <c r="A180" s="3" t="s">
        <v>150</v>
      </c>
      <c r="B180" s="3">
        <v>4</v>
      </c>
      <c r="C180" s="3">
        <v>55.19587797186</v>
      </c>
      <c r="D180" s="3">
        <v>17.619794439740001</v>
      </c>
      <c r="E180" s="3">
        <v>5495.2834725621997</v>
      </c>
      <c r="F180" s="3">
        <v>3.2251236929560001</v>
      </c>
    </row>
    <row r="181" spans="1:6" x14ac:dyDescent="0.3">
      <c r="A181" s="3" t="s">
        <v>151</v>
      </c>
      <c r="B181" s="3">
        <v>4.0999999999999996</v>
      </c>
      <c r="C181" s="3">
        <v>7.3187381654557004</v>
      </c>
      <c r="D181" s="3">
        <v>129.73719454839997</v>
      </c>
      <c r="E181" s="3">
        <v>14449.754517720001</v>
      </c>
      <c r="F181" s="3">
        <v>-12.435827337439996</v>
      </c>
    </row>
    <row r="182" spans="1:6" x14ac:dyDescent="0.3">
      <c r="A182" s="3" t="s">
        <v>153</v>
      </c>
      <c r="B182" s="3">
        <v>2.5</v>
      </c>
      <c r="C182" s="3">
        <v>17.191837461414998</v>
      </c>
      <c r="D182" s="3">
        <v>65.634713673540006</v>
      </c>
      <c r="E182" s="3">
        <v>1178.4799624899999</v>
      </c>
      <c r="F182" s="3">
        <v>1.148136988833917</v>
      </c>
    </row>
    <row r="183" spans="1:6" x14ac:dyDescent="0.3">
      <c r="A183" s="3" t="s">
        <v>154</v>
      </c>
      <c r="B183" s="3">
        <v>2.8</v>
      </c>
      <c r="C183" s="3">
        <v>17.195429876275451</v>
      </c>
      <c r="D183" s="3">
        <v>38.2123486339</v>
      </c>
      <c r="E183" s="3">
        <v>1224.219726563</v>
      </c>
      <c r="F183" s="3">
        <v>2.8641579229270002</v>
      </c>
    </row>
    <row r="184" spans="1:6" x14ac:dyDescent="0.3">
      <c r="A184" s="3" t="s">
        <v>155</v>
      </c>
      <c r="B184" s="3">
        <v>3.5</v>
      </c>
      <c r="C184" s="3">
        <v>65.513588274517005</v>
      </c>
      <c r="D184" s="3">
        <v>128.79235969165001</v>
      </c>
      <c r="E184" s="3">
        <v>721.5413832685</v>
      </c>
      <c r="F184" s="3">
        <v>1.9975474592239999</v>
      </c>
    </row>
    <row r="185" spans="1:6" hidden="1" x14ac:dyDescent="0.3">
      <c r="A185" s="3" t="s">
        <v>156</v>
      </c>
      <c r="C185" s="3">
        <v>22.923944694195001</v>
      </c>
      <c r="D185" s="3">
        <v>89.346499726440001</v>
      </c>
      <c r="E185" s="3">
        <v>152.41149589299999</v>
      </c>
      <c r="F185" s="3">
        <v>5.8749926731956004</v>
      </c>
    </row>
    <row r="186" spans="1:6" x14ac:dyDescent="0.3">
      <c r="A186" s="3" t="s">
        <v>157</v>
      </c>
      <c r="B186" s="3">
        <v>2.5</v>
      </c>
      <c r="C186" s="3">
        <v>24.582517955789999</v>
      </c>
      <c r="D186" s="3">
        <v>59.929177717427002</v>
      </c>
      <c r="E186" s="3">
        <v>1182.3295143669632</v>
      </c>
      <c r="F186" s="3">
        <v>0.82611611792200002</v>
      </c>
    </row>
    <row r="187" spans="1:6" hidden="1" x14ac:dyDescent="0.3">
      <c r="A187" s="3" t="s">
        <v>260</v>
      </c>
      <c r="C187" s="3">
        <v>14.744218923709999</v>
      </c>
      <c r="D187" s="3">
        <v>79.623925779000004</v>
      </c>
      <c r="E187" s="3">
        <v>5651.593579392862</v>
      </c>
      <c r="F187" s="3">
        <v>0.44357393519288002</v>
      </c>
    </row>
    <row r="188" spans="1:6" hidden="1" x14ac:dyDescent="0.3">
      <c r="A188" s="3" t="s">
        <v>158</v>
      </c>
      <c r="B188" s="3">
        <v>2.5</v>
      </c>
      <c r="E188" s="3">
        <v>1838.4536298574999</v>
      </c>
      <c r="F188" s="3">
        <v>-5.9848645877791</v>
      </c>
    </row>
    <row r="189" spans="1:6" x14ac:dyDescent="0.3">
      <c r="A189" s="3" t="s">
        <v>159</v>
      </c>
      <c r="B189" s="3">
        <v>2.7</v>
      </c>
      <c r="C189" s="3">
        <v>53.393939116799999</v>
      </c>
      <c r="D189" s="3">
        <v>112.12885813354001</v>
      </c>
      <c r="E189" s="3">
        <v>3951.1168337692147</v>
      </c>
      <c r="F189" s="3">
        <v>1.4635133384422858</v>
      </c>
    </row>
    <row r="190" spans="1:6" x14ac:dyDescent="0.3">
      <c r="A190" s="3" t="s">
        <v>160</v>
      </c>
      <c r="B190" s="3">
        <v>3.4</v>
      </c>
      <c r="C190" s="3">
        <v>31.913592689723998</v>
      </c>
      <c r="D190" s="3">
        <v>65.683284738666998</v>
      </c>
      <c r="E190" s="3">
        <v>13375.947282863999</v>
      </c>
      <c r="F190" s="3">
        <v>0.93386495534911995</v>
      </c>
    </row>
    <row r="191" spans="1:6" x14ac:dyDescent="0.3">
      <c r="A191" s="3" t="s">
        <v>161</v>
      </c>
      <c r="B191" s="3">
        <v>2.41</v>
      </c>
      <c r="C191" s="3">
        <v>21.675322584741</v>
      </c>
      <c r="D191" s="3">
        <v>34.179435541879997</v>
      </c>
      <c r="E191" s="3">
        <v>5298.4642194927619</v>
      </c>
      <c r="F191" s="3">
        <v>3.5323296866931</v>
      </c>
    </row>
    <row r="192" spans="1:6" hidden="1" x14ac:dyDescent="0.3">
      <c r="A192" s="3" t="s">
        <v>255</v>
      </c>
      <c r="E192" s="3">
        <v>3547.2151682949998</v>
      </c>
      <c r="F192" s="3">
        <v>1.9937418959352999</v>
      </c>
    </row>
    <row r="193" spans="1:6" hidden="1" x14ac:dyDescent="0.3">
      <c r="A193" s="3" t="s">
        <v>263</v>
      </c>
      <c r="E193" s="3">
        <v>5143.8397437225985</v>
      </c>
      <c r="F193" s="3">
        <v>0.32933975182894698</v>
      </c>
    </row>
    <row r="194" spans="1:6" hidden="1" x14ac:dyDescent="0.3">
      <c r="A194" s="3" t="s">
        <v>162</v>
      </c>
      <c r="C194" s="3">
        <v>11.61789255499</v>
      </c>
      <c r="D194" s="3">
        <v>33.341696332219001</v>
      </c>
      <c r="E194" s="3">
        <v>12.391391714199999</v>
      </c>
      <c r="F194" s="3">
        <v>6.1381651913594002</v>
      </c>
    </row>
    <row r="195" spans="1:6" x14ac:dyDescent="0.3">
      <c r="A195" s="3" t="s">
        <v>163</v>
      </c>
      <c r="B195" s="3">
        <v>2.7</v>
      </c>
      <c r="C195" s="3">
        <v>28.346827372700002</v>
      </c>
      <c r="D195" s="3">
        <v>77.596141935657002</v>
      </c>
      <c r="E195" s="3">
        <v>5139.59814453125</v>
      </c>
      <c r="F195" s="3">
        <v>2.522879219664</v>
      </c>
    </row>
    <row r="196" spans="1:6" x14ac:dyDescent="0.3">
      <c r="A196" s="3" t="s">
        <v>164</v>
      </c>
      <c r="B196" s="3">
        <v>4</v>
      </c>
      <c r="C196" s="3">
        <v>16.846123399530001</v>
      </c>
      <c r="D196" s="3">
        <v>199.449512717</v>
      </c>
      <c r="E196" s="3">
        <v>4985.6945828400003</v>
      </c>
      <c r="F196" s="3">
        <v>5.8718398356489869</v>
      </c>
    </row>
    <row r="197" spans="1:6" x14ac:dyDescent="0.3">
      <c r="A197" s="3" t="s">
        <v>165</v>
      </c>
      <c r="B197" s="3">
        <v>3.7</v>
      </c>
      <c r="C197" s="3">
        <v>31.912269762993773</v>
      </c>
      <c r="D197" s="3">
        <v>64.992384174782998</v>
      </c>
      <c r="E197" s="3">
        <v>49919.689662158606</v>
      </c>
      <c r="F197" s="3">
        <v>0.43116734836793003</v>
      </c>
    </row>
    <row r="198" spans="1:6" x14ac:dyDescent="0.3">
      <c r="A198" s="3" t="s">
        <v>166</v>
      </c>
      <c r="B198" s="3">
        <v>3.8</v>
      </c>
      <c r="C198" s="3">
        <v>11.5673719927</v>
      </c>
      <c r="D198" s="3">
        <v>24.929298175284721</v>
      </c>
      <c r="E198" s="3">
        <v>82586.784777894005</v>
      </c>
      <c r="F198" s="3">
        <v>1.3141768246586001</v>
      </c>
    </row>
    <row r="199" spans="1:6" x14ac:dyDescent="0.3">
      <c r="A199" s="3" t="s">
        <v>167</v>
      </c>
      <c r="B199" s="3">
        <v>3</v>
      </c>
      <c r="C199" s="3">
        <v>27.981248656588381</v>
      </c>
      <c r="D199" s="3">
        <v>52.32731838718</v>
      </c>
      <c r="E199" s="3">
        <v>23378.639973351612</v>
      </c>
      <c r="F199" s="3">
        <v>-6.6256474617616092</v>
      </c>
    </row>
    <row r="200" spans="1:6" x14ac:dyDescent="0.3">
      <c r="A200" s="3" t="s">
        <v>168</v>
      </c>
      <c r="B200" s="3">
        <v>2.6</v>
      </c>
      <c r="C200" s="3">
        <v>23.315232191522163</v>
      </c>
      <c r="D200" s="3">
        <v>63.121943494999996</v>
      </c>
      <c r="E200" s="3">
        <v>315.97756945700002</v>
      </c>
      <c r="F200" s="3">
        <v>2.5412733649999999</v>
      </c>
    </row>
    <row r="201" spans="1:6" hidden="1" x14ac:dyDescent="0.3">
      <c r="A201" s="3" t="s">
        <v>268</v>
      </c>
      <c r="C201" s="3">
        <v>28.371473975777999</v>
      </c>
      <c r="D201" s="3">
        <v>78.648945434699996</v>
      </c>
      <c r="E201" s="3">
        <v>378.18942411252999</v>
      </c>
      <c r="F201" s="3">
        <v>0.78984232486799999</v>
      </c>
    </row>
    <row r="202" spans="1:6" x14ac:dyDescent="0.3">
      <c r="A202" s="3" t="s">
        <v>169</v>
      </c>
      <c r="B202" s="3">
        <v>2.2999999999999998</v>
      </c>
      <c r="C202" s="3">
        <v>18.663666874328001</v>
      </c>
      <c r="D202" s="3">
        <v>28.944323171164999</v>
      </c>
      <c r="E202" s="3">
        <v>3617.4738396528001</v>
      </c>
      <c r="F202" s="3">
        <v>0.1269812463344</v>
      </c>
    </row>
    <row r="203" spans="1:6" x14ac:dyDescent="0.3">
      <c r="A203" s="3" t="s">
        <v>170</v>
      </c>
      <c r="B203" s="3">
        <v>3.3</v>
      </c>
      <c r="C203" s="3">
        <v>86.736664875238006</v>
      </c>
      <c r="D203" s="3">
        <v>164.99558545587553</v>
      </c>
      <c r="E203" s="3">
        <v>4322.8257226156556</v>
      </c>
      <c r="F203" s="3">
        <v>4.2645885654688813</v>
      </c>
    </row>
    <row r="204" spans="1:6" hidden="1" x14ac:dyDescent="0.3">
      <c r="A204" s="3" t="s">
        <v>240</v>
      </c>
      <c r="C204" s="3">
        <v>16.995884111166561</v>
      </c>
      <c r="D204" s="3">
        <v>76.173457614930967</v>
      </c>
      <c r="E204" s="3">
        <v>367.41611858821</v>
      </c>
      <c r="F204" s="3">
        <v>0.55559328357761995</v>
      </c>
    </row>
    <row r="205" spans="1:6" x14ac:dyDescent="0.3">
      <c r="A205" s="3" t="s">
        <v>172</v>
      </c>
      <c r="B205" s="3">
        <v>2.8</v>
      </c>
      <c r="C205" s="3">
        <v>4.8461239686718001</v>
      </c>
      <c r="D205" s="3">
        <v>78.241887451484999</v>
      </c>
      <c r="E205" s="3">
        <v>133.72785767900001</v>
      </c>
      <c r="F205" s="3">
        <v>2.3246533561482581</v>
      </c>
    </row>
    <row r="206" spans="1:6" x14ac:dyDescent="0.3">
      <c r="A206" s="3" t="s">
        <v>173</v>
      </c>
      <c r="B206" s="3">
        <v>2.5</v>
      </c>
      <c r="C206" s="3">
        <v>17.117765918</v>
      </c>
      <c r="D206" s="3">
        <v>4.2912612469419997</v>
      </c>
      <c r="E206" s="3">
        <v>2195.2252117399998</v>
      </c>
      <c r="F206" s="3">
        <v>1.6843211517412002</v>
      </c>
    </row>
  </sheetData>
  <autoFilter ref="A1:F206" xr:uid="{D5D5040D-61BF-47E4-B03F-99B46A985896}">
    <filterColumn colId="1">
      <customFilters>
        <customFilter operator="notEqual" val=" "/>
      </customFilters>
    </filterColumn>
    <filterColumn colId="3">
      <customFilters>
        <customFilter operator="notEqual" val=" "/>
      </customFilters>
    </filterColumn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19CB-BA0E-4BA1-91F0-72F676C5F3B3}">
  <dimension ref="A1:F149"/>
  <sheetViews>
    <sheetView workbookViewId="0">
      <selection activeCell="H11" sqref="H11"/>
    </sheetView>
  </sheetViews>
  <sheetFormatPr defaultColWidth="22.33203125" defaultRowHeight="14.4" x14ac:dyDescent="0.3"/>
  <sheetData>
    <row r="1" spans="1:6" x14ac:dyDescent="0.3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">
      <c r="A2" s="3" t="s">
        <v>6</v>
      </c>
      <c r="B2" s="3">
        <v>1.9</v>
      </c>
      <c r="C2" s="3">
        <v>16.235278441939137</v>
      </c>
      <c r="D2" s="3">
        <v>66.999578621951002</v>
      </c>
      <c r="E2" s="3">
        <v>413.75789475329998</v>
      </c>
      <c r="F2" s="3">
        <v>0.496</v>
      </c>
    </row>
    <row r="3" spans="1:6" x14ac:dyDescent="0.3">
      <c r="A3" s="3" t="s">
        <v>7</v>
      </c>
      <c r="B3" s="3">
        <v>2.5</v>
      </c>
      <c r="C3" s="3">
        <v>38.418821291287998</v>
      </c>
      <c r="D3" s="3">
        <v>82.352493399723002</v>
      </c>
      <c r="E3" s="3">
        <v>974.72341463099997</v>
      </c>
      <c r="F3" s="3">
        <v>6.9369594794999996</v>
      </c>
    </row>
    <row r="4" spans="1:6" x14ac:dyDescent="0.3">
      <c r="A4" s="3" t="s">
        <v>8</v>
      </c>
      <c r="B4" s="3">
        <v>2.5</v>
      </c>
      <c r="C4" s="3">
        <v>23.796473816300001</v>
      </c>
      <c r="D4" s="3">
        <v>43.739798457699997</v>
      </c>
      <c r="E4" s="3">
        <v>537.47723578</v>
      </c>
      <c r="F4" s="3">
        <v>0.48981914341423</v>
      </c>
    </row>
    <row r="5" spans="1:6" x14ac:dyDescent="0.3">
      <c r="A5" s="3" t="s">
        <v>9</v>
      </c>
      <c r="B5" s="3">
        <v>2.1</v>
      </c>
      <c r="C5" s="3">
        <v>32.669372372410997</v>
      </c>
      <c r="D5" s="3">
        <v>53.671264986860002</v>
      </c>
      <c r="E5" s="3">
        <v>2885.5134913860002</v>
      </c>
      <c r="F5" s="3">
        <v>-1.998854414452103</v>
      </c>
    </row>
    <row r="6" spans="1:6" x14ac:dyDescent="0.3">
      <c r="A6" s="3" t="s">
        <v>11</v>
      </c>
      <c r="B6" s="3">
        <v>2.8</v>
      </c>
      <c r="C6" s="3">
        <v>12.822312961470001</v>
      </c>
      <c r="D6" s="3">
        <v>26.67695124822146</v>
      </c>
      <c r="E6" s="3">
        <v>14261.846566794789</v>
      </c>
      <c r="F6" s="3">
        <v>3.8119879856951999</v>
      </c>
    </row>
    <row r="7" spans="1:6" x14ac:dyDescent="0.3">
      <c r="A7" s="3" t="s">
        <v>12</v>
      </c>
      <c r="B7" s="3">
        <v>2.5</v>
      </c>
      <c r="C7" s="3">
        <v>61.832947915600002</v>
      </c>
      <c r="D7" s="3">
        <v>123.4187577627</v>
      </c>
      <c r="E7" s="3">
        <v>8159.8729679959997</v>
      </c>
      <c r="F7" s="3">
        <v>2.3995927646558157</v>
      </c>
    </row>
    <row r="8" spans="1:6" x14ac:dyDescent="0.3">
      <c r="A8" s="3" t="s">
        <v>175</v>
      </c>
      <c r="B8" s="3">
        <v>3.3</v>
      </c>
      <c r="C8" s="3">
        <v>79.858893371661523</v>
      </c>
      <c r="D8" s="3">
        <v>153.71915834395907</v>
      </c>
      <c r="E8" s="3">
        <v>34897.618393290002</v>
      </c>
      <c r="F8" s="3">
        <v>-3.6689355783496644</v>
      </c>
    </row>
    <row r="9" spans="1:6" x14ac:dyDescent="0.3">
      <c r="A9" s="3" t="s">
        <v>13</v>
      </c>
      <c r="B9" s="3">
        <v>3.7</v>
      </c>
      <c r="C9" s="3">
        <v>26.716825227499999</v>
      </c>
      <c r="D9" s="3">
        <v>49.443393184279998</v>
      </c>
      <c r="E9" s="3">
        <v>6558.3773146674002</v>
      </c>
      <c r="F9" s="3">
        <v>2.361474389564</v>
      </c>
    </row>
    <row r="10" spans="1:6" x14ac:dyDescent="0.3">
      <c r="A10" s="3" t="s">
        <v>14</v>
      </c>
      <c r="B10" s="3">
        <v>4</v>
      </c>
      <c r="C10" s="3">
        <v>58.486759571394387</v>
      </c>
      <c r="D10" s="3">
        <v>115.15291482273196</v>
      </c>
      <c r="E10" s="3">
        <v>56579.541754680002</v>
      </c>
      <c r="F10" s="3">
        <v>0.56611237322770003</v>
      </c>
    </row>
    <row r="11" spans="1:6" x14ac:dyDescent="0.3">
      <c r="A11" s="3" t="s">
        <v>15</v>
      </c>
      <c r="B11" s="3">
        <v>2.4500000000000002</v>
      </c>
      <c r="C11" s="3">
        <v>48.9964135536</v>
      </c>
      <c r="D11" s="3">
        <v>83.535886115632138</v>
      </c>
      <c r="E11" s="3">
        <v>7133.2838483280002</v>
      </c>
      <c r="F11" s="3">
        <v>0.34983727338300002</v>
      </c>
    </row>
    <row r="12" spans="1:6" x14ac:dyDescent="0.3">
      <c r="A12" s="3" t="s">
        <v>16</v>
      </c>
      <c r="B12" s="3">
        <v>2.7</v>
      </c>
      <c r="C12" s="3">
        <v>37.811452367184998</v>
      </c>
      <c r="D12" s="3">
        <v>76.54947515928572</v>
      </c>
      <c r="E12" s="3">
        <v>38231.774484277987</v>
      </c>
      <c r="F12" s="3">
        <v>2.111519353762247</v>
      </c>
    </row>
    <row r="13" spans="1:6" x14ac:dyDescent="0.3">
      <c r="A13" s="3" t="s">
        <v>17</v>
      </c>
      <c r="B13" s="3">
        <v>3.5</v>
      </c>
      <c r="C13" s="3">
        <v>87.351143952571036</v>
      </c>
      <c r="D13" s="3">
        <v>157.44785468229745</v>
      </c>
      <c r="E13" s="3">
        <v>2929.1284215979999</v>
      </c>
      <c r="F13" s="3">
        <v>15.642875683644</v>
      </c>
    </row>
    <row r="14" spans="1:6" x14ac:dyDescent="0.3">
      <c r="A14" s="3" t="s">
        <v>18</v>
      </c>
      <c r="B14" s="3">
        <v>2.6</v>
      </c>
      <c r="C14" s="3">
        <v>13.157163834124001</v>
      </c>
      <c r="D14" s="3">
        <v>3.9829714145959998</v>
      </c>
      <c r="E14" s="3">
        <v>2551.1773827369998</v>
      </c>
      <c r="F14" s="3">
        <v>0.33572155298967998</v>
      </c>
    </row>
    <row r="15" spans="1:6" x14ac:dyDescent="0.3">
      <c r="A15" s="3" t="s">
        <v>19</v>
      </c>
      <c r="B15" s="3">
        <v>2.7</v>
      </c>
      <c r="C15" s="3">
        <v>66.267285714940996</v>
      </c>
      <c r="D15" s="3">
        <v>131.58467488496072</v>
      </c>
      <c r="E15" s="3">
        <v>7896.7538829558362</v>
      </c>
      <c r="F15" s="3">
        <v>2.7485419891</v>
      </c>
    </row>
    <row r="16" spans="1:6" x14ac:dyDescent="0.3">
      <c r="A16" s="3" t="s">
        <v>20</v>
      </c>
      <c r="B16" s="3">
        <v>4</v>
      </c>
      <c r="C16" s="3">
        <v>82.813298297878347</v>
      </c>
      <c r="D16" s="3">
        <v>165.98744736442001</v>
      </c>
      <c r="E16" s="3">
        <v>55244.68145810999</v>
      </c>
      <c r="F16" s="3">
        <v>-0.65273382159187998</v>
      </c>
    </row>
    <row r="17" spans="1:6" x14ac:dyDescent="0.3">
      <c r="A17" s="3" t="s">
        <v>21</v>
      </c>
      <c r="B17" s="3">
        <v>2.9</v>
      </c>
      <c r="C17" s="3">
        <v>2.3519916900000002</v>
      </c>
      <c r="D17" s="3">
        <v>44.663138182110004</v>
      </c>
      <c r="E17" s="3">
        <v>1394.1778472183137</v>
      </c>
      <c r="F17" s="3">
        <v>2.2515898819569999</v>
      </c>
    </row>
    <row r="18" spans="1:6" x14ac:dyDescent="0.3">
      <c r="A18" s="3" t="s">
        <v>22</v>
      </c>
      <c r="B18" s="3">
        <v>2.5</v>
      </c>
      <c r="C18" s="3">
        <v>28.388178975658001</v>
      </c>
      <c r="D18" s="3">
        <v>81.736627853981091</v>
      </c>
      <c r="E18" s="3">
        <v>3831.3253556432637</v>
      </c>
      <c r="F18" s="3">
        <v>0.338339566522946</v>
      </c>
    </row>
    <row r="19" spans="1:6" x14ac:dyDescent="0.3">
      <c r="A19" s="3" t="s">
        <v>23</v>
      </c>
      <c r="B19" s="3">
        <v>2.4</v>
      </c>
      <c r="C19" s="3">
        <v>22.428953816490001</v>
      </c>
      <c r="D19" s="3">
        <v>49.683255594597</v>
      </c>
      <c r="E19" s="3">
        <v>4274.7825476130001</v>
      </c>
      <c r="F19" s="3">
        <v>0.45881248265398999</v>
      </c>
    </row>
    <row r="20" spans="1:6" x14ac:dyDescent="0.3">
      <c r="A20" s="3" t="s">
        <v>24</v>
      </c>
      <c r="B20" s="3">
        <v>3</v>
      </c>
      <c r="C20" s="3">
        <v>43.931739817813806</v>
      </c>
      <c r="D20" s="3">
        <v>99.633317954442006</v>
      </c>
      <c r="E20" s="3">
        <v>8663.2326458628995</v>
      </c>
      <c r="F20" s="3">
        <v>4.9226692272900001</v>
      </c>
    </row>
    <row r="21" spans="1:6" x14ac:dyDescent="0.3">
      <c r="A21" s="3" t="s">
        <v>25</v>
      </c>
      <c r="B21" s="3">
        <v>3.1</v>
      </c>
      <c r="C21" s="3">
        <v>32.896892879468673</v>
      </c>
      <c r="D21" s="3">
        <v>7.1128327324590002</v>
      </c>
      <c r="E21" s="3">
        <v>7827.3279673400002</v>
      </c>
      <c r="F21" s="3">
        <v>3.8196512349790002</v>
      </c>
    </row>
    <row r="22" spans="1:6" x14ac:dyDescent="0.3">
      <c r="A22" s="3" t="s">
        <v>26</v>
      </c>
      <c r="B22" s="3">
        <v>3.2</v>
      </c>
      <c r="C22" s="3">
        <v>17.969324332740999</v>
      </c>
      <c r="D22" s="3">
        <v>33.666229831438002</v>
      </c>
      <c r="E22" s="3">
        <v>1377.5892792556999</v>
      </c>
      <c r="F22" s="3">
        <v>2.8638334429826999</v>
      </c>
    </row>
    <row r="23" spans="1:6" x14ac:dyDescent="0.3">
      <c r="A23" s="3" t="s">
        <v>27</v>
      </c>
      <c r="B23" s="3">
        <v>2.71</v>
      </c>
      <c r="C23" s="3">
        <v>76.732248525000003</v>
      </c>
      <c r="D23" s="3">
        <v>136.86343465479999</v>
      </c>
      <c r="E23" s="3">
        <v>3289.5491812189998</v>
      </c>
      <c r="F23" s="3">
        <v>-0.37545162271999999</v>
      </c>
    </row>
    <row r="24" spans="1:6" x14ac:dyDescent="0.3">
      <c r="A24" s="3" t="s">
        <v>28</v>
      </c>
      <c r="B24" s="3">
        <v>3.2</v>
      </c>
      <c r="C24" s="3">
        <v>62.497463656999997</v>
      </c>
      <c r="D24" s="3">
        <v>119.89955851916</v>
      </c>
      <c r="E24" s="3">
        <v>15854.192893772</v>
      </c>
      <c r="F24" s="3">
        <v>5.5862477514110003</v>
      </c>
    </row>
    <row r="25" spans="1:6" x14ac:dyDescent="0.3">
      <c r="A25" s="3" t="s">
        <v>29</v>
      </c>
      <c r="B25" s="3">
        <v>2.2999999999999998</v>
      </c>
      <c r="C25" s="3">
        <v>28.949425477896</v>
      </c>
      <c r="D25" s="3">
        <v>63.153435873964</v>
      </c>
      <c r="E25" s="3">
        <v>873.19861672469995</v>
      </c>
      <c r="F25" s="3">
        <v>0.54437234838860005</v>
      </c>
    </row>
    <row r="26" spans="1:6" x14ac:dyDescent="0.3">
      <c r="A26" s="3" t="s">
        <v>31</v>
      </c>
      <c r="B26" s="3">
        <v>2.4</v>
      </c>
      <c r="C26" s="3">
        <v>66.892666552170994</v>
      </c>
      <c r="D26" s="3">
        <v>134.26842395931001</v>
      </c>
      <c r="E26" s="3">
        <v>2429.7485345283822</v>
      </c>
      <c r="F26" s="3">
        <v>9.3596719897580005</v>
      </c>
    </row>
    <row r="27" spans="1:6" x14ac:dyDescent="0.3">
      <c r="A27" s="3" t="s">
        <v>32</v>
      </c>
      <c r="B27" s="3">
        <v>2.1</v>
      </c>
      <c r="C27" s="3">
        <v>16.852756219387</v>
      </c>
      <c r="D27" s="3">
        <v>37.893321242577997</v>
      </c>
      <c r="E27" s="3">
        <v>172.475115456</v>
      </c>
      <c r="F27" s="3">
        <v>1.6829965628995418</v>
      </c>
    </row>
    <row r="28" spans="1:6" x14ac:dyDescent="0.3">
      <c r="A28" s="3" t="s">
        <v>33</v>
      </c>
      <c r="B28" s="3">
        <v>4</v>
      </c>
      <c r="C28" s="3">
        <v>33.341652498948001</v>
      </c>
      <c r="D28" s="3">
        <v>66.574542515329995</v>
      </c>
      <c r="E28" s="3">
        <v>54847.537112651997</v>
      </c>
      <c r="F28" s="3">
        <v>1.9984159717384715</v>
      </c>
    </row>
    <row r="29" spans="1:6" x14ac:dyDescent="0.3">
      <c r="A29" s="3" t="s">
        <v>34</v>
      </c>
      <c r="B29" s="3">
        <v>2.5</v>
      </c>
      <c r="C29" s="3">
        <v>14.448262937339999</v>
      </c>
      <c r="D29" s="3">
        <v>43.485728358000003</v>
      </c>
      <c r="E29" s="3">
        <v>495.97889728872059</v>
      </c>
      <c r="F29" s="3">
        <v>1.5164656547544</v>
      </c>
    </row>
    <row r="30" spans="1:6" x14ac:dyDescent="0.3">
      <c r="A30" s="3" t="s">
        <v>36</v>
      </c>
      <c r="B30" s="3">
        <v>3</v>
      </c>
      <c r="C30" s="3">
        <v>3.7756174336370001</v>
      </c>
      <c r="D30" s="3">
        <v>6.6766444736157</v>
      </c>
      <c r="E30" s="3">
        <v>1781.5187449</v>
      </c>
      <c r="F30" s="3">
        <v>5.7234675956374002</v>
      </c>
    </row>
    <row r="31" spans="1:6" x14ac:dyDescent="0.3">
      <c r="A31" s="3" t="s">
        <v>37</v>
      </c>
      <c r="B31" s="3">
        <v>3.7</v>
      </c>
      <c r="C31" s="3">
        <v>19.423916483759999</v>
      </c>
      <c r="D31" s="3">
        <v>36.739149693839401</v>
      </c>
      <c r="E31" s="3">
        <v>12951.178239743</v>
      </c>
      <c r="F31" s="3">
        <v>0.28991136348160002</v>
      </c>
    </row>
    <row r="32" spans="1:6" x14ac:dyDescent="0.3">
      <c r="A32" s="3" t="s">
        <v>38</v>
      </c>
      <c r="B32" s="3">
        <v>2.9</v>
      </c>
      <c r="C32" s="3">
        <v>17.877746975859999</v>
      </c>
      <c r="D32" s="3">
        <v>4.1333165322580996</v>
      </c>
      <c r="E32" s="3">
        <v>712.49169137755996</v>
      </c>
      <c r="F32" s="3">
        <v>4.5771674827926319</v>
      </c>
    </row>
    <row r="33" spans="1:6" x14ac:dyDescent="0.3">
      <c r="A33" s="3" t="s">
        <v>39</v>
      </c>
      <c r="B33" s="3">
        <v>2.56</v>
      </c>
      <c r="C33" s="3">
        <v>1.31836318596</v>
      </c>
      <c r="D33" s="3">
        <v>44.439863449789001</v>
      </c>
      <c r="E33" s="3">
        <v>1723.8947494647398</v>
      </c>
      <c r="F33" s="3">
        <v>0.36513285679525997</v>
      </c>
    </row>
    <row r="34" spans="1:6" x14ac:dyDescent="0.3">
      <c r="A34" s="3" t="s">
        <v>40</v>
      </c>
      <c r="B34" s="3">
        <v>2.5</v>
      </c>
      <c r="C34" s="3">
        <v>42.539835211191999</v>
      </c>
      <c r="D34" s="3">
        <v>86.745817982890003</v>
      </c>
      <c r="E34" s="3">
        <v>66.212523899700003</v>
      </c>
      <c r="F34" s="3">
        <v>3.4822697575779999</v>
      </c>
    </row>
    <row r="35" spans="1:6" x14ac:dyDescent="0.3">
      <c r="A35" s="3" t="s">
        <v>41</v>
      </c>
      <c r="B35" s="3">
        <v>2.6</v>
      </c>
      <c r="C35" s="3">
        <v>56.895927833858998</v>
      </c>
      <c r="D35" s="3">
        <v>96.213944396179997</v>
      </c>
      <c r="E35" s="3">
        <v>2477.9784554486619</v>
      </c>
      <c r="F35" s="3">
        <v>4.8897217827499997</v>
      </c>
    </row>
    <row r="36" spans="1:6" x14ac:dyDescent="0.3">
      <c r="A36" s="3" t="s">
        <v>42</v>
      </c>
      <c r="B36" s="3">
        <v>2.9</v>
      </c>
      <c r="C36" s="3">
        <v>38.957487812700002</v>
      </c>
      <c r="D36" s="3">
        <v>71.438313453600003</v>
      </c>
      <c r="E36" s="3">
        <v>1714.7714312200001</v>
      </c>
      <c r="F36" s="3">
        <v>6.5567371313475</v>
      </c>
    </row>
    <row r="37" spans="1:6" x14ac:dyDescent="0.3">
      <c r="A37" s="3" t="s">
        <v>43</v>
      </c>
      <c r="B37" s="3">
        <v>3.08</v>
      </c>
      <c r="C37" s="3">
        <v>22.435339571410001</v>
      </c>
      <c r="D37" s="3">
        <v>48.8173913332</v>
      </c>
      <c r="E37" s="3">
        <v>2591.9659481190001</v>
      </c>
      <c r="F37" s="3">
        <v>3.7641433618414002</v>
      </c>
    </row>
    <row r="38" spans="1:6" x14ac:dyDescent="0.3">
      <c r="A38" s="3" t="s">
        <v>44</v>
      </c>
      <c r="B38" s="3">
        <v>3.3</v>
      </c>
      <c r="C38" s="3">
        <v>52.567373248339997</v>
      </c>
      <c r="D38" s="3">
        <v>17.277816316199999</v>
      </c>
      <c r="E38" s="3">
        <v>22183.498225849158</v>
      </c>
      <c r="F38" s="3">
        <v>3.9313322235580999</v>
      </c>
    </row>
    <row r="39" spans="1:6" x14ac:dyDescent="0.3">
      <c r="A39" s="3" t="s">
        <v>46</v>
      </c>
      <c r="B39" s="3">
        <v>3.2</v>
      </c>
      <c r="C39" s="3">
        <v>96.389977531499994</v>
      </c>
      <c r="D39" s="3">
        <v>19.74957956519</v>
      </c>
      <c r="E39" s="3">
        <v>36623.773125</v>
      </c>
      <c r="F39" s="3">
        <v>-63.154639121542097</v>
      </c>
    </row>
    <row r="40" spans="1:6" x14ac:dyDescent="0.3">
      <c r="A40" s="3" t="s">
        <v>47</v>
      </c>
      <c r="B40" s="3">
        <v>3.3</v>
      </c>
      <c r="C40" s="3">
        <v>68.431692844520001</v>
      </c>
      <c r="D40" s="3">
        <v>131.89259829587624</v>
      </c>
      <c r="E40" s="3">
        <v>31761.594412490998</v>
      </c>
      <c r="F40" s="3">
        <v>3.446241946487</v>
      </c>
    </row>
    <row r="41" spans="1:6" x14ac:dyDescent="0.3">
      <c r="A41" s="3" t="s">
        <v>48</v>
      </c>
      <c r="B41" s="3">
        <v>4.0999999999999996</v>
      </c>
      <c r="C41" s="3">
        <v>69.314362591443</v>
      </c>
      <c r="D41" s="3">
        <v>129.62533743127759</v>
      </c>
      <c r="E41" s="3">
        <v>6843.5466971243004</v>
      </c>
      <c r="F41" s="3">
        <v>2.346382929142</v>
      </c>
    </row>
    <row r="42" spans="1:6" x14ac:dyDescent="0.3">
      <c r="A42" s="3" t="s">
        <v>49</v>
      </c>
      <c r="B42" s="3">
        <v>2.7</v>
      </c>
      <c r="C42" s="3">
        <v>15.741322598259</v>
      </c>
      <c r="D42" s="3">
        <v>285.92438643999998</v>
      </c>
      <c r="E42" s="3">
        <v>3381.2977971721998</v>
      </c>
      <c r="F42" s="3">
        <v>3.5144623164134865</v>
      </c>
    </row>
    <row r="43" spans="1:6" x14ac:dyDescent="0.3">
      <c r="A43" s="3" t="s">
        <v>50</v>
      </c>
      <c r="B43" s="3">
        <v>2.6</v>
      </c>
      <c r="C43" s="3">
        <v>21.323316532410001</v>
      </c>
      <c r="D43" s="3">
        <v>49.843613176441728</v>
      </c>
      <c r="E43" s="3">
        <v>163.431743829</v>
      </c>
      <c r="F43" s="3">
        <v>3.943755868192</v>
      </c>
    </row>
    <row r="44" spans="1:6" x14ac:dyDescent="0.3">
      <c r="A44" s="3" t="s">
        <v>51</v>
      </c>
      <c r="B44" s="3">
        <v>2.88</v>
      </c>
      <c r="C44" s="3">
        <v>28.649536821320996</v>
      </c>
      <c r="D44" s="3">
        <v>57.162693826439003</v>
      </c>
      <c r="E44" s="3">
        <v>6718.1447938810961</v>
      </c>
      <c r="F44" s="3">
        <v>0.39826146475520002</v>
      </c>
    </row>
    <row r="45" spans="1:6" x14ac:dyDescent="0.3">
      <c r="A45" s="3" t="s">
        <v>52</v>
      </c>
      <c r="B45" s="3">
        <v>3.1</v>
      </c>
      <c r="C45" s="3">
        <v>19.1691345676</v>
      </c>
      <c r="D45" s="3">
        <v>4.4547723100000001</v>
      </c>
      <c r="E45" s="3">
        <v>3456.7896521236303</v>
      </c>
      <c r="F45" s="3">
        <v>2.4854646959840001</v>
      </c>
    </row>
    <row r="46" spans="1:6" x14ac:dyDescent="0.3">
      <c r="A46" s="3" t="s">
        <v>53</v>
      </c>
      <c r="B46" s="3">
        <v>2.7</v>
      </c>
      <c r="C46" s="3">
        <v>28.791855191487194</v>
      </c>
      <c r="D46" s="3">
        <v>79.812265178786618</v>
      </c>
      <c r="E46" s="3">
        <v>5319.7195268687956</v>
      </c>
      <c r="F46" s="3">
        <v>2.3187856682899999</v>
      </c>
    </row>
    <row r="47" spans="1:6" x14ac:dyDescent="0.3">
      <c r="A47" s="3" t="s">
        <v>54</v>
      </c>
      <c r="B47" s="3">
        <v>2.2999999999999998</v>
      </c>
      <c r="C47" s="3">
        <v>37.845825137929999</v>
      </c>
      <c r="D47" s="3">
        <v>6.688662681337</v>
      </c>
      <c r="E47" s="3">
        <v>6788.3527163837589</v>
      </c>
      <c r="F47" s="3">
        <v>1.1346555239989</v>
      </c>
    </row>
    <row r="48" spans="1:6" x14ac:dyDescent="0.3">
      <c r="A48" s="3" t="s">
        <v>56</v>
      </c>
      <c r="B48" s="3">
        <v>3.6</v>
      </c>
      <c r="C48" s="3">
        <v>77.774659719829998</v>
      </c>
      <c r="D48" s="3">
        <v>154.59261711114905</v>
      </c>
      <c r="E48" s="3">
        <v>3264.6488556999998</v>
      </c>
      <c r="F48" s="3">
        <v>12.54812828973</v>
      </c>
    </row>
    <row r="49" spans="1:6" x14ac:dyDescent="0.3">
      <c r="A49" s="3" t="s">
        <v>252</v>
      </c>
      <c r="B49" s="3">
        <v>2.42</v>
      </c>
      <c r="C49" s="3">
        <v>48.512233379439998</v>
      </c>
      <c r="D49" s="3">
        <v>99.724611815616996</v>
      </c>
      <c r="E49" s="3">
        <v>3755.5211123246368</v>
      </c>
      <c r="F49" s="3">
        <v>0.6877271441635</v>
      </c>
    </row>
    <row r="50" spans="1:6" x14ac:dyDescent="0.3">
      <c r="A50" s="3" t="s">
        <v>57</v>
      </c>
      <c r="B50" s="3">
        <v>2.4</v>
      </c>
      <c r="C50" s="3">
        <v>6.5959182952289996</v>
      </c>
      <c r="D50" s="3">
        <v>2.5982157145999998</v>
      </c>
      <c r="E50" s="3">
        <v>155.819159361</v>
      </c>
      <c r="F50" s="3">
        <v>2.4146315356827999</v>
      </c>
    </row>
    <row r="51" spans="1:6" x14ac:dyDescent="0.3">
      <c r="A51" s="3" t="s">
        <v>58</v>
      </c>
      <c r="B51" s="3">
        <v>2.2999999999999998</v>
      </c>
      <c r="C51" s="3">
        <v>57.569787682940003</v>
      </c>
      <c r="D51" s="3">
        <v>126.28213451517</v>
      </c>
      <c r="E51" s="3">
        <v>5926.2586394763002</v>
      </c>
      <c r="F51" s="3">
        <v>1.6537389445564776</v>
      </c>
    </row>
    <row r="52" spans="1:6" x14ac:dyDescent="0.3">
      <c r="A52" s="3" t="s">
        <v>59</v>
      </c>
      <c r="B52" s="3">
        <v>4.2</v>
      </c>
      <c r="C52" s="3">
        <v>42.768447464332155</v>
      </c>
      <c r="D52" s="3">
        <v>85.514184721891539</v>
      </c>
      <c r="E52" s="3">
        <v>52864.693158121634</v>
      </c>
      <c r="F52" s="3">
        <v>-0.38889573182600001</v>
      </c>
    </row>
    <row r="53" spans="1:6" x14ac:dyDescent="0.3">
      <c r="A53" s="3" t="s">
        <v>60</v>
      </c>
      <c r="B53" s="3">
        <v>3.9</v>
      </c>
      <c r="C53" s="3">
        <v>34.456256877884158</v>
      </c>
      <c r="D53" s="3">
        <v>7.6261456122500002</v>
      </c>
      <c r="E53" s="3">
        <v>447.1384177544</v>
      </c>
      <c r="F53" s="3">
        <v>0.59645175611400003</v>
      </c>
    </row>
    <row r="54" spans="1:6" x14ac:dyDescent="0.3">
      <c r="A54" s="3" t="s">
        <v>61</v>
      </c>
      <c r="B54" s="3">
        <v>2.4</v>
      </c>
      <c r="C54" s="3">
        <v>63.728277779667351</v>
      </c>
      <c r="D54" s="3">
        <v>91.478653317914365</v>
      </c>
      <c r="E54" s="3">
        <v>782.82433276137999</v>
      </c>
      <c r="F54" s="3">
        <v>5.9351722557589879</v>
      </c>
    </row>
    <row r="55" spans="1:6" x14ac:dyDescent="0.3">
      <c r="A55" s="3" t="s">
        <v>62</v>
      </c>
      <c r="B55" s="3">
        <v>2.2999999999999998</v>
      </c>
      <c r="C55" s="3">
        <v>7.5322372954979997</v>
      </c>
      <c r="D55" s="3">
        <v>39.962173467122</v>
      </c>
      <c r="E55" s="3">
        <v>883.24111978926999</v>
      </c>
      <c r="F55" s="3">
        <v>8.6279954845680997</v>
      </c>
    </row>
    <row r="56" spans="1:6" x14ac:dyDescent="0.3">
      <c r="A56" s="3" t="s">
        <v>63</v>
      </c>
      <c r="B56" s="3">
        <v>2.7</v>
      </c>
      <c r="C56" s="3">
        <v>49.267598313657999</v>
      </c>
      <c r="D56" s="3">
        <v>17.151179161579002</v>
      </c>
      <c r="E56" s="3">
        <v>8283.6696652260998</v>
      </c>
      <c r="F56" s="3">
        <v>6.8622668327199996</v>
      </c>
    </row>
    <row r="57" spans="1:6" x14ac:dyDescent="0.3">
      <c r="A57" s="3" t="s">
        <v>64</v>
      </c>
      <c r="B57" s="3">
        <v>4.0999999999999996</v>
      </c>
      <c r="C57" s="3">
        <v>42.967262419684737</v>
      </c>
      <c r="D57" s="3">
        <v>81.962548378763358</v>
      </c>
      <c r="E57" s="3">
        <v>54776.766823549093</v>
      </c>
      <c r="F57" s="3">
        <v>1.9921813981276999</v>
      </c>
    </row>
    <row r="58" spans="1:6" x14ac:dyDescent="0.3">
      <c r="A58" s="3" t="s">
        <v>65</v>
      </c>
      <c r="B58" s="3">
        <v>2.5</v>
      </c>
      <c r="C58" s="3">
        <v>31.778164943996</v>
      </c>
      <c r="D58" s="3">
        <v>64.387861531859997</v>
      </c>
      <c r="E58" s="3">
        <v>2383.9414762209999</v>
      </c>
      <c r="F58" s="3">
        <v>1.6379428218412999</v>
      </c>
    </row>
    <row r="59" spans="1:6" x14ac:dyDescent="0.3">
      <c r="A59" s="3" t="s">
        <v>66</v>
      </c>
      <c r="B59" s="3">
        <v>3.7</v>
      </c>
      <c r="C59" s="3">
        <v>43.838838465612348</v>
      </c>
      <c r="D59" s="3">
        <v>92.471882947180006</v>
      </c>
      <c r="E59" s="3">
        <v>23343.713964562001</v>
      </c>
      <c r="F59" s="3">
        <v>1.9436677761651118</v>
      </c>
    </row>
    <row r="60" spans="1:6" x14ac:dyDescent="0.3">
      <c r="A60" s="3" t="s">
        <v>68</v>
      </c>
      <c r="B60" s="3">
        <v>2.6</v>
      </c>
      <c r="C60" s="3">
        <v>16.61749871424</v>
      </c>
      <c r="D60" s="3">
        <v>48.329797847259144</v>
      </c>
      <c r="E60" s="3">
        <v>5754.4283399847</v>
      </c>
      <c r="F60" s="3">
        <v>1.5823175223988999</v>
      </c>
    </row>
    <row r="61" spans="1:6" x14ac:dyDescent="0.3">
      <c r="A61" s="3" t="s">
        <v>69</v>
      </c>
      <c r="B61" s="3">
        <v>2.5</v>
      </c>
      <c r="C61" s="3">
        <v>44.132634929890003</v>
      </c>
      <c r="D61" s="3">
        <v>95.829526758226962</v>
      </c>
      <c r="E61" s="3">
        <v>1555.4937586860999</v>
      </c>
      <c r="F61" s="3">
        <v>5.8682281332221002</v>
      </c>
    </row>
    <row r="62" spans="1:6" x14ac:dyDescent="0.3">
      <c r="A62" s="3" t="s">
        <v>70</v>
      </c>
      <c r="B62" s="3">
        <v>2.6</v>
      </c>
      <c r="C62" s="3">
        <v>13.741398325700001</v>
      </c>
      <c r="D62" s="3">
        <v>42.435151524276002</v>
      </c>
      <c r="E62" s="3">
        <v>964.4318326653954</v>
      </c>
      <c r="F62" s="3">
        <v>1.2122351361357</v>
      </c>
    </row>
    <row r="63" spans="1:6" x14ac:dyDescent="0.3">
      <c r="A63" s="3" t="s">
        <v>72</v>
      </c>
      <c r="B63" s="3">
        <v>2.1</v>
      </c>
      <c r="C63" s="3">
        <v>3.1996218811369999</v>
      </c>
      <c r="D63" s="3">
        <v>25.247898494179065</v>
      </c>
      <c r="E63" s="3">
        <v>1681.8447667590001</v>
      </c>
      <c r="F63" s="3">
        <v>0.128234771512</v>
      </c>
    </row>
    <row r="64" spans="1:6" x14ac:dyDescent="0.3">
      <c r="A64" s="3" t="s">
        <v>73</v>
      </c>
      <c r="B64" s="3">
        <v>2.9</v>
      </c>
      <c r="C64" s="3">
        <v>37.368684713718999</v>
      </c>
      <c r="D64" s="3">
        <v>98.791979833636489</v>
      </c>
      <c r="E64" s="3">
        <v>3227.4576259775999</v>
      </c>
      <c r="F64" s="3">
        <v>1.6838124542466999</v>
      </c>
    </row>
    <row r="65" spans="1:6" x14ac:dyDescent="0.3">
      <c r="A65" s="3" t="s">
        <v>74</v>
      </c>
      <c r="B65" s="3">
        <v>4</v>
      </c>
      <c r="C65" s="3">
        <v>176.85419678586882</v>
      </c>
      <c r="D65" s="3">
        <v>353.19468941299999</v>
      </c>
      <c r="E65" s="3">
        <v>5525.1119312663004</v>
      </c>
      <c r="F65" s="3">
        <v>32.372431849549997</v>
      </c>
    </row>
    <row r="66" spans="1:6" x14ac:dyDescent="0.3">
      <c r="A66" s="3" t="s">
        <v>75</v>
      </c>
      <c r="B66" s="3">
        <v>3.2</v>
      </c>
      <c r="C66" s="3">
        <v>81.387489351555999</v>
      </c>
      <c r="D66" s="3">
        <v>158.61882567913</v>
      </c>
      <c r="E66" s="3">
        <v>2228.6598246600001</v>
      </c>
      <c r="F66" s="3">
        <v>-33.279947178163241</v>
      </c>
    </row>
    <row r="67" spans="1:6" x14ac:dyDescent="0.3">
      <c r="A67" s="3" t="s">
        <v>76</v>
      </c>
      <c r="B67" s="3">
        <v>3.6</v>
      </c>
      <c r="C67" s="3">
        <v>43.974592595120001</v>
      </c>
      <c r="D67" s="3">
        <v>87.238881922275993</v>
      </c>
      <c r="E67" s="3">
        <v>8221.2985187800004</v>
      </c>
      <c r="F67" s="3">
        <v>5.9623425511569996</v>
      </c>
    </row>
    <row r="68" spans="1:6" x14ac:dyDescent="0.3">
      <c r="A68" s="3" t="s">
        <v>77</v>
      </c>
      <c r="B68" s="3">
        <v>3.4</v>
      </c>
      <c r="C68" s="3">
        <v>22.354819667329998</v>
      </c>
      <c r="D68" s="3">
        <v>46.322952582337997</v>
      </c>
      <c r="E68" s="3">
        <v>2434.4482634988999</v>
      </c>
      <c r="F68" s="3">
        <v>0.82254995836755995</v>
      </c>
    </row>
    <row r="69" spans="1:6" x14ac:dyDescent="0.3">
      <c r="A69" s="3" t="s">
        <v>78</v>
      </c>
      <c r="B69" s="3">
        <v>3</v>
      </c>
      <c r="C69" s="3">
        <v>21.885632197562</v>
      </c>
      <c r="D69" s="3">
        <v>41.464765447232999</v>
      </c>
      <c r="E69" s="3">
        <v>4876.2992959842977</v>
      </c>
      <c r="F69" s="3">
        <v>1.5711696648747</v>
      </c>
    </row>
    <row r="70" spans="1:6" x14ac:dyDescent="0.3">
      <c r="A70" s="3" t="s">
        <v>79</v>
      </c>
      <c r="B70" s="3">
        <v>2.2999999999999998</v>
      </c>
      <c r="C70" s="3">
        <v>23.921647554235744</v>
      </c>
      <c r="D70" s="3">
        <v>49.393559623000002</v>
      </c>
      <c r="E70" s="3">
        <v>549.29931642754002</v>
      </c>
      <c r="F70" s="3">
        <v>0.318854888419</v>
      </c>
    </row>
    <row r="71" spans="1:6" x14ac:dyDescent="0.3">
      <c r="A71" s="3" t="s">
        <v>80</v>
      </c>
      <c r="B71" s="3">
        <v>2.4</v>
      </c>
      <c r="C71" s="3">
        <v>39.631232244300001</v>
      </c>
      <c r="D71" s="3">
        <v>69.461327991670004</v>
      </c>
      <c r="E71" s="3">
        <v>5965.3183577761001</v>
      </c>
      <c r="F71" s="3">
        <v>-1.994748223132619</v>
      </c>
    </row>
    <row r="72" spans="1:6" x14ac:dyDescent="0.3">
      <c r="A72" s="3" t="s">
        <v>81</v>
      </c>
      <c r="B72" s="3">
        <v>3.6</v>
      </c>
      <c r="C72" s="3">
        <v>136.52636667410977</v>
      </c>
      <c r="D72" s="3">
        <v>239.64962758511086</v>
      </c>
      <c r="E72" s="3">
        <v>16818.9171384</v>
      </c>
      <c r="F72" s="3">
        <v>-24.672589536419999</v>
      </c>
    </row>
    <row r="73" spans="1:6" x14ac:dyDescent="0.3">
      <c r="A73" s="3" t="s">
        <v>82</v>
      </c>
      <c r="B73" s="3">
        <v>3.6</v>
      </c>
      <c r="C73" s="3">
        <v>3.3284744139660001</v>
      </c>
      <c r="D73" s="3">
        <v>57.977782328645041</v>
      </c>
      <c r="E73" s="3">
        <v>52126.448928329999</v>
      </c>
      <c r="F73" s="3">
        <v>3.1496899145939632</v>
      </c>
    </row>
    <row r="74" spans="1:6" x14ac:dyDescent="0.3">
      <c r="A74" s="3" t="s">
        <v>83</v>
      </c>
      <c r="B74" s="3">
        <v>3.7</v>
      </c>
      <c r="C74" s="3">
        <v>33.329369569238999</v>
      </c>
      <c r="D74" s="3">
        <v>65.12841944198</v>
      </c>
      <c r="E74" s="3">
        <v>39279.699782164018</v>
      </c>
      <c r="F74" s="3">
        <v>1.8136334823925</v>
      </c>
    </row>
    <row r="75" spans="1:6" x14ac:dyDescent="0.3">
      <c r="A75" s="3" t="s">
        <v>85</v>
      </c>
      <c r="B75" s="3">
        <v>3.9</v>
      </c>
      <c r="C75" s="3">
        <v>21.59311343597</v>
      </c>
      <c r="D75" s="3">
        <v>43.595833827349999</v>
      </c>
      <c r="E75" s="3">
        <v>35215.3535366</v>
      </c>
      <c r="F75" s="3">
        <v>0.45629769864798603</v>
      </c>
    </row>
    <row r="76" spans="1:6" x14ac:dyDescent="0.3">
      <c r="A76" s="3" t="s">
        <v>87</v>
      </c>
      <c r="B76" s="3">
        <v>2.7</v>
      </c>
      <c r="C76" s="3">
        <v>34.655774495380001</v>
      </c>
      <c r="D76" s="3">
        <v>62.334283767521001</v>
      </c>
      <c r="E76" s="3">
        <v>12879.427525797384</v>
      </c>
      <c r="F76" s="3">
        <v>2.1858951694272002</v>
      </c>
    </row>
    <row r="77" spans="1:6" x14ac:dyDescent="0.3">
      <c r="A77" s="3" t="s">
        <v>88</v>
      </c>
      <c r="B77" s="3">
        <v>2.81</v>
      </c>
      <c r="C77" s="3">
        <v>16.713344299872087</v>
      </c>
      <c r="D77" s="3">
        <v>4.9337677377556002</v>
      </c>
      <c r="E77" s="3">
        <v>1942.5882756190999</v>
      </c>
      <c r="F77" s="3">
        <v>0.47252123822625403</v>
      </c>
    </row>
    <row r="78" spans="1:6" x14ac:dyDescent="0.3">
      <c r="A78" s="3" t="s">
        <v>89</v>
      </c>
      <c r="B78" s="3">
        <v>3.8</v>
      </c>
      <c r="C78" s="3">
        <v>41.321487367697003</v>
      </c>
      <c r="D78" s="3">
        <v>82.258971662899995</v>
      </c>
      <c r="E78" s="3">
        <v>35674.959956320003</v>
      </c>
      <c r="F78" s="3">
        <v>1.3221435142435001</v>
      </c>
    </row>
    <row r="79" spans="1:6" x14ac:dyDescent="0.3">
      <c r="A79" s="3" t="s">
        <v>90</v>
      </c>
      <c r="B79" s="3">
        <v>3.2</v>
      </c>
      <c r="C79" s="3">
        <v>57.726231743600003</v>
      </c>
      <c r="D79" s="3">
        <v>96.343596931619999</v>
      </c>
      <c r="E79" s="3">
        <v>3491.9714813199998</v>
      </c>
      <c r="F79" s="3">
        <v>1.27799431796</v>
      </c>
    </row>
    <row r="80" spans="1:6" x14ac:dyDescent="0.3">
      <c r="A80" s="3" t="s">
        <v>91</v>
      </c>
      <c r="B80" s="3">
        <v>2.2999999999999998</v>
      </c>
      <c r="C80" s="3">
        <v>36.888223253582062</v>
      </c>
      <c r="D80" s="3">
        <v>132.37343912335999</v>
      </c>
      <c r="E80" s="3">
        <v>2138.2221211478</v>
      </c>
      <c r="F80" s="3">
        <v>1.4867156934100001</v>
      </c>
    </row>
    <row r="81" spans="1:6" x14ac:dyDescent="0.3">
      <c r="A81" s="3" t="s">
        <v>93</v>
      </c>
      <c r="B81" s="3">
        <v>3.5</v>
      </c>
      <c r="C81" s="3">
        <v>65.989655148271467</v>
      </c>
      <c r="D81" s="3">
        <v>135.64298915426642</v>
      </c>
      <c r="E81" s="3">
        <v>2271.2637544197</v>
      </c>
      <c r="F81" s="3">
        <v>3.9483779361871001</v>
      </c>
    </row>
    <row r="82" spans="1:6" x14ac:dyDescent="0.3">
      <c r="A82" s="3" t="s">
        <v>94</v>
      </c>
      <c r="B82" s="3">
        <v>2.4</v>
      </c>
      <c r="C82" s="3">
        <v>3.5514119674734999</v>
      </c>
      <c r="D82" s="3">
        <v>14.264169182</v>
      </c>
      <c r="E82" s="3">
        <v>3477.7248984268376</v>
      </c>
      <c r="F82" s="3">
        <v>3.2643546738912712</v>
      </c>
    </row>
    <row r="83" spans="1:6" x14ac:dyDescent="0.3">
      <c r="A83" s="3" t="s">
        <v>95</v>
      </c>
      <c r="B83" s="3">
        <v>2.2799999999999998</v>
      </c>
      <c r="C83" s="3">
        <v>42.682978781486</v>
      </c>
      <c r="D83" s="3">
        <v>14.722487877528</v>
      </c>
      <c r="E83" s="3">
        <v>921.43514155755997</v>
      </c>
      <c r="F83" s="3">
        <v>-1.2419551531999999</v>
      </c>
    </row>
    <row r="84" spans="1:6" x14ac:dyDescent="0.3">
      <c r="A84" s="3" t="s">
        <v>97</v>
      </c>
      <c r="B84" s="3">
        <v>1.9</v>
      </c>
      <c r="C84" s="3">
        <v>85.613296899999995</v>
      </c>
      <c r="D84" s="3">
        <v>161.723269722</v>
      </c>
      <c r="E84" s="3">
        <v>626.51518788119995</v>
      </c>
      <c r="F84" s="3">
        <v>1.85147243983</v>
      </c>
    </row>
    <row r="85" spans="1:6" x14ac:dyDescent="0.3">
      <c r="A85" s="3" t="s">
        <v>98</v>
      </c>
      <c r="B85" s="3">
        <v>3.4</v>
      </c>
      <c r="C85" s="3">
        <v>75.933513171116019</v>
      </c>
      <c r="D85" s="3">
        <v>147.99751776427999</v>
      </c>
      <c r="E85" s="3">
        <v>27983.365825688685</v>
      </c>
      <c r="F85" s="3">
        <v>4.7676451451377</v>
      </c>
    </row>
    <row r="86" spans="1:6" x14ac:dyDescent="0.3">
      <c r="A86" s="3" t="s">
        <v>99</v>
      </c>
      <c r="B86" s="3">
        <v>3.6</v>
      </c>
      <c r="C86" s="3">
        <v>217.37982258397838</v>
      </c>
      <c r="D86" s="3">
        <v>42.566968197344998</v>
      </c>
      <c r="E86" s="3">
        <v>13323.619178899</v>
      </c>
      <c r="F86" s="3">
        <v>-1.4511316835125001</v>
      </c>
    </row>
    <row r="87" spans="1:6" x14ac:dyDescent="0.3">
      <c r="A87" s="3" t="s">
        <v>100</v>
      </c>
      <c r="B87" s="3">
        <v>2.2999999999999998</v>
      </c>
      <c r="C87" s="3">
        <v>26.722886123742672</v>
      </c>
      <c r="D87" s="3">
        <v>62.762214759431231</v>
      </c>
      <c r="E87" s="3">
        <v>514.64765519269997</v>
      </c>
      <c r="F87" s="3">
        <v>3.2395378979970002</v>
      </c>
    </row>
    <row r="88" spans="1:6" x14ac:dyDescent="0.3">
      <c r="A88" s="3" t="s">
        <v>101</v>
      </c>
      <c r="B88" s="3">
        <v>2.59</v>
      </c>
      <c r="C88" s="3">
        <v>11.245363894527999</v>
      </c>
      <c r="D88" s="3">
        <v>42.437668399967002</v>
      </c>
      <c r="E88" s="3">
        <v>633.21476797869502</v>
      </c>
      <c r="F88" s="3">
        <v>1.6161124764599999</v>
      </c>
    </row>
    <row r="89" spans="1:6" x14ac:dyDescent="0.3">
      <c r="A89" s="3" t="s">
        <v>102</v>
      </c>
      <c r="B89" s="3">
        <v>3.6</v>
      </c>
      <c r="C89" s="3">
        <v>68.678953565316817</v>
      </c>
      <c r="D89" s="3">
        <v>132.59346164159942</v>
      </c>
      <c r="E89" s="3">
        <v>11386.395636527999</v>
      </c>
      <c r="F89" s="3">
        <v>1.9799627167430001</v>
      </c>
    </row>
    <row r="90" spans="1:6" x14ac:dyDescent="0.3">
      <c r="A90" s="3" t="s">
        <v>104</v>
      </c>
      <c r="B90" s="3">
        <v>2.6</v>
      </c>
      <c r="C90" s="3">
        <v>24.786377529858001</v>
      </c>
      <c r="D90" s="3">
        <v>57.629157226929614</v>
      </c>
      <c r="E90" s="3">
        <v>142.44223444836999</v>
      </c>
      <c r="F90" s="3">
        <v>2.8354248451699999</v>
      </c>
    </row>
    <row r="91" spans="1:6" x14ac:dyDescent="0.3">
      <c r="A91" s="3" t="s">
        <v>105</v>
      </c>
      <c r="B91" s="3">
        <v>3.3</v>
      </c>
      <c r="C91" s="3">
        <v>119.74833691667</v>
      </c>
      <c r="D91" s="3">
        <v>221.13329637559258</v>
      </c>
      <c r="E91" s="3">
        <v>4932.5238774461004</v>
      </c>
      <c r="F91" s="3">
        <v>18.735277772100002</v>
      </c>
    </row>
    <row r="92" spans="1:6" x14ac:dyDescent="0.3">
      <c r="A92" s="3" t="s">
        <v>106</v>
      </c>
      <c r="B92" s="3">
        <v>2.2999999999999998</v>
      </c>
      <c r="C92" s="3">
        <v>38.479814979799997</v>
      </c>
      <c r="D92" s="3">
        <v>92.165444514674249</v>
      </c>
      <c r="E92" s="3">
        <v>2127.957628597303</v>
      </c>
      <c r="F92" s="3">
        <v>7.9377633557909997</v>
      </c>
    </row>
    <row r="93" spans="1:6" x14ac:dyDescent="0.3">
      <c r="A93" s="3" t="s">
        <v>107</v>
      </c>
      <c r="B93" s="3">
        <v>2.5</v>
      </c>
      <c r="C93" s="3">
        <v>69.411453593640005</v>
      </c>
      <c r="D93" s="3">
        <v>147.32139212885198</v>
      </c>
      <c r="E93" s="3">
        <v>11269.968446213859</v>
      </c>
      <c r="F93" s="3">
        <v>5.3996313399295</v>
      </c>
    </row>
    <row r="94" spans="1:6" x14ac:dyDescent="0.3">
      <c r="A94" s="3" t="s">
        <v>108</v>
      </c>
      <c r="B94" s="3">
        <v>2.9</v>
      </c>
      <c r="C94" s="3">
        <v>36.147934367569</v>
      </c>
      <c r="D94" s="3">
        <v>73.739758255664</v>
      </c>
      <c r="E94" s="3">
        <v>1383.8438488639999</v>
      </c>
      <c r="F94" s="3">
        <v>1.7993817486100001</v>
      </c>
    </row>
    <row r="95" spans="1:6" x14ac:dyDescent="0.3">
      <c r="A95" s="3" t="s">
        <v>109</v>
      </c>
      <c r="B95" s="3">
        <v>2.5</v>
      </c>
      <c r="C95" s="3">
        <v>35.112585786126161</v>
      </c>
      <c r="D95" s="3">
        <v>93.994621148852005</v>
      </c>
      <c r="E95" s="3">
        <v>6799.5859464457562</v>
      </c>
      <c r="F95" s="3">
        <v>2.1595189914844002</v>
      </c>
    </row>
    <row r="96" spans="1:6" x14ac:dyDescent="0.3">
      <c r="A96" s="3" t="s">
        <v>110</v>
      </c>
      <c r="B96" s="3">
        <v>2.5</v>
      </c>
      <c r="C96" s="3">
        <v>76.257117127924005</v>
      </c>
      <c r="D96" s="3">
        <v>142.8642465991814</v>
      </c>
      <c r="E96" s="3">
        <v>5838.6318839200003</v>
      </c>
      <c r="F96" s="3">
        <v>11.58169914836</v>
      </c>
    </row>
    <row r="97" spans="1:6" x14ac:dyDescent="0.3">
      <c r="A97" s="3" t="s">
        <v>111</v>
      </c>
      <c r="B97" s="3">
        <v>2.8</v>
      </c>
      <c r="C97" s="3">
        <v>49.229236319400002</v>
      </c>
      <c r="D97" s="3">
        <v>116.86669538328999</v>
      </c>
      <c r="E97" s="3">
        <v>12258.164773390001</v>
      </c>
      <c r="F97" s="3">
        <v>6.8811329539669996</v>
      </c>
    </row>
    <row r="98" spans="1:6" x14ac:dyDescent="0.3">
      <c r="A98" s="3" t="s">
        <v>115</v>
      </c>
      <c r="B98" s="3">
        <v>2.9</v>
      </c>
      <c r="C98" s="3">
        <v>43.284616772667668</v>
      </c>
      <c r="D98" s="3">
        <v>19.817599673</v>
      </c>
      <c r="E98" s="3">
        <v>4225.9912418120002</v>
      </c>
      <c r="F98" s="3">
        <v>18.322742614294999</v>
      </c>
    </row>
    <row r="99" spans="1:6" x14ac:dyDescent="0.3">
      <c r="A99" s="3" t="s">
        <v>116</v>
      </c>
      <c r="B99" s="3">
        <v>2.5</v>
      </c>
      <c r="C99" s="3">
        <v>7.5967288613599999</v>
      </c>
      <c r="D99" s="3">
        <v>41.571529324670003</v>
      </c>
      <c r="E99" s="3">
        <v>1382.383895424</v>
      </c>
      <c r="F99" s="3">
        <v>0.18227214989516999</v>
      </c>
    </row>
    <row r="100" spans="1:6" x14ac:dyDescent="0.3">
      <c r="A100" s="3" t="s">
        <v>117</v>
      </c>
      <c r="B100" s="3">
        <v>4.0999999999999996</v>
      </c>
      <c r="C100" s="3">
        <v>87.486612893794998</v>
      </c>
      <c r="D100" s="3">
        <v>165.34294789329999</v>
      </c>
      <c r="E100" s="3">
        <v>63515.637819000003</v>
      </c>
      <c r="F100" s="3">
        <v>-3.2437329655920002</v>
      </c>
    </row>
    <row r="101" spans="1:6" x14ac:dyDescent="0.3">
      <c r="A101" s="3" t="s">
        <v>118</v>
      </c>
      <c r="B101" s="3">
        <v>3.6</v>
      </c>
      <c r="C101" s="3">
        <v>23.63317125</v>
      </c>
      <c r="D101" s="3">
        <v>49.865541498497002</v>
      </c>
      <c r="E101" s="3">
        <v>4932.3418764930002</v>
      </c>
      <c r="F101" s="3">
        <v>1.714263785345409</v>
      </c>
    </row>
    <row r="102" spans="1:6" x14ac:dyDescent="0.3">
      <c r="A102" s="3" t="s">
        <v>119</v>
      </c>
      <c r="B102" s="3">
        <v>2.5</v>
      </c>
      <c r="C102" s="3">
        <v>45.865895323571998</v>
      </c>
      <c r="D102" s="3">
        <v>15.19535579852</v>
      </c>
      <c r="E102" s="3">
        <v>269.44491147974998</v>
      </c>
      <c r="F102" s="3">
        <v>6.2558119194242634</v>
      </c>
    </row>
    <row r="103" spans="1:6" x14ac:dyDescent="0.3">
      <c r="A103" s="3" t="s">
        <v>120</v>
      </c>
      <c r="B103" s="3">
        <v>2.19</v>
      </c>
      <c r="C103" s="3">
        <v>8.2511648671873896</v>
      </c>
      <c r="D103" s="3">
        <v>3.7176535695599999</v>
      </c>
      <c r="E103" s="3">
        <v>647.93185956699995</v>
      </c>
      <c r="F103" s="3">
        <v>6.5546224617000002</v>
      </c>
    </row>
    <row r="104" spans="1:6" x14ac:dyDescent="0.3">
      <c r="A104" s="3" t="s">
        <v>122</v>
      </c>
      <c r="B104" s="3">
        <v>3.1</v>
      </c>
      <c r="C104" s="3">
        <v>67.396998458634997</v>
      </c>
      <c r="D104" s="3">
        <v>147.79425348390001</v>
      </c>
      <c r="E104" s="3">
        <v>8674.3584632748534</v>
      </c>
      <c r="F104" s="3">
        <v>4.4619444974300002</v>
      </c>
    </row>
    <row r="105" spans="1:6" x14ac:dyDescent="0.3">
      <c r="A105" s="3" t="s">
        <v>123</v>
      </c>
      <c r="B105" s="3">
        <v>3.7</v>
      </c>
      <c r="C105" s="3">
        <v>46.449617711320002</v>
      </c>
      <c r="D105" s="3">
        <v>77.411895837599999</v>
      </c>
      <c r="E105" s="3">
        <v>9984.4871411109998</v>
      </c>
      <c r="F105" s="3">
        <v>2.7449993797298</v>
      </c>
    </row>
    <row r="106" spans="1:6" x14ac:dyDescent="0.3">
      <c r="A106" s="3" t="s">
        <v>124</v>
      </c>
      <c r="B106" s="3">
        <v>3.3</v>
      </c>
      <c r="C106" s="3">
        <v>61.584342798927999</v>
      </c>
      <c r="D106" s="3">
        <v>16.4467311264</v>
      </c>
      <c r="E106" s="3">
        <v>2127.7384572657002</v>
      </c>
      <c r="F106" s="3">
        <v>11.815792912822866</v>
      </c>
    </row>
    <row r="107" spans="1:6" x14ac:dyDescent="0.3">
      <c r="A107" s="3" t="s">
        <v>125</v>
      </c>
      <c r="B107" s="3">
        <v>2.8</v>
      </c>
      <c r="C107" s="3">
        <v>1.4939587511564001</v>
      </c>
      <c r="D107" s="3">
        <v>28.467692546983692</v>
      </c>
      <c r="E107" s="3">
        <v>136.32417758419001</v>
      </c>
      <c r="F107" s="3">
        <v>0.68281278262400003</v>
      </c>
    </row>
    <row r="108" spans="1:6" x14ac:dyDescent="0.3">
      <c r="A108" s="3" t="s">
        <v>126</v>
      </c>
      <c r="B108" s="3">
        <v>3.1</v>
      </c>
      <c r="C108" s="3">
        <v>45.629244254530001</v>
      </c>
      <c r="D108" s="3">
        <v>88.348915169795006</v>
      </c>
      <c r="E108" s="3">
        <v>18797.193389461059</v>
      </c>
      <c r="F108" s="3">
        <v>3.2638431272317407</v>
      </c>
    </row>
    <row r="109" spans="1:6" x14ac:dyDescent="0.3">
      <c r="A109" s="3" t="s">
        <v>128</v>
      </c>
      <c r="B109" s="3">
        <v>2.7</v>
      </c>
      <c r="C109" s="3">
        <v>42.257662716231025</v>
      </c>
      <c r="D109" s="3">
        <v>82.57772522965162</v>
      </c>
      <c r="E109" s="3">
        <v>633.26495172919999</v>
      </c>
      <c r="F109" s="3">
        <v>2.5771913744299999</v>
      </c>
    </row>
    <row r="110" spans="1:6" x14ac:dyDescent="0.3">
      <c r="A110" s="3" t="s">
        <v>129</v>
      </c>
      <c r="B110" s="3">
        <v>3</v>
      </c>
      <c r="C110" s="3">
        <v>27.171618135233</v>
      </c>
      <c r="D110" s="3">
        <v>5.9737213492999999</v>
      </c>
      <c r="E110" s="3">
        <v>7919.4634828546996</v>
      </c>
      <c r="F110" s="3">
        <v>1.6433496973352999</v>
      </c>
    </row>
    <row r="111" spans="1:6" x14ac:dyDescent="0.3">
      <c r="A111" s="3" t="s">
        <v>130</v>
      </c>
      <c r="B111" s="3">
        <v>3.3</v>
      </c>
      <c r="C111" s="3">
        <v>26.636849347584999</v>
      </c>
      <c r="D111" s="3">
        <v>67.419969317165993</v>
      </c>
      <c r="E111" s="3">
        <v>384.8274131718</v>
      </c>
      <c r="F111" s="3">
        <v>2.4213548233600002</v>
      </c>
    </row>
    <row r="112" spans="1:6" x14ac:dyDescent="0.3">
      <c r="A112" s="3" t="s">
        <v>131</v>
      </c>
      <c r="B112" s="3">
        <v>3.6</v>
      </c>
      <c r="C112" s="3">
        <v>57.881271195434003</v>
      </c>
      <c r="D112" s="3">
        <v>11.249354181499999</v>
      </c>
      <c r="E112" s="3">
        <v>22145.266647429002</v>
      </c>
      <c r="F112" s="3">
        <v>4.3891867339545003</v>
      </c>
    </row>
    <row r="113" spans="1:6" x14ac:dyDescent="0.3">
      <c r="A113" s="3" t="s">
        <v>132</v>
      </c>
      <c r="B113" s="3">
        <v>3.4</v>
      </c>
      <c r="C113" s="3">
        <v>47.15547693148816</v>
      </c>
      <c r="D113" s="3">
        <v>93.135853772380003</v>
      </c>
      <c r="E113" s="3">
        <v>27634.618313977298</v>
      </c>
      <c r="F113" s="3">
        <v>3.963254287431238</v>
      </c>
    </row>
    <row r="114" spans="1:6" x14ac:dyDescent="0.3">
      <c r="A114" s="3" t="s">
        <v>134</v>
      </c>
      <c r="B114" s="3">
        <v>3.2</v>
      </c>
      <c r="C114" s="3">
        <v>39.24459754628856</v>
      </c>
      <c r="D114" s="3">
        <v>83.375332462231</v>
      </c>
      <c r="E114" s="3">
        <v>18244.418687632093</v>
      </c>
      <c r="F114" s="3">
        <v>2.542686654842</v>
      </c>
    </row>
    <row r="115" spans="1:6" x14ac:dyDescent="0.3">
      <c r="A115" s="3" t="s">
        <v>135</v>
      </c>
      <c r="B115" s="3">
        <v>2.6</v>
      </c>
      <c r="C115" s="3">
        <v>22.769939314297002</v>
      </c>
      <c r="D115" s="3">
        <v>41.339511649293293</v>
      </c>
      <c r="E115" s="3">
        <v>13986.9951171875</v>
      </c>
      <c r="F115" s="3">
        <v>-0.49895498289410001</v>
      </c>
    </row>
    <row r="116" spans="1:6" x14ac:dyDescent="0.3">
      <c r="A116" s="3" t="s">
        <v>136</v>
      </c>
      <c r="B116" s="3">
        <v>2.8</v>
      </c>
      <c r="C116" s="3">
        <v>23.766278177</v>
      </c>
      <c r="D116" s="3">
        <v>66.892583933947179</v>
      </c>
      <c r="E116" s="3">
        <v>161.57881547599999</v>
      </c>
      <c r="F116" s="3">
        <v>3.9831449585410001</v>
      </c>
    </row>
    <row r="117" spans="1:6" x14ac:dyDescent="0.3">
      <c r="A117" s="3" t="s">
        <v>137</v>
      </c>
      <c r="B117" s="3">
        <v>2.3199999999999998</v>
      </c>
      <c r="C117" s="3">
        <v>14.243821824642</v>
      </c>
      <c r="D117" s="3">
        <v>46.974578733663243</v>
      </c>
      <c r="E117" s="3">
        <v>299.666143535</v>
      </c>
      <c r="F117" s="3">
        <v>-3.7365988496794116</v>
      </c>
    </row>
    <row r="118" spans="1:6" x14ac:dyDescent="0.3">
      <c r="A118" s="3" t="s">
        <v>138</v>
      </c>
      <c r="B118" s="3">
        <v>3.4</v>
      </c>
      <c r="C118" s="3">
        <v>3.755961678442</v>
      </c>
      <c r="D118" s="3">
        <v>55.797468232548667</v>
      </c>
      <c r="E118" s="3">
        <v>36156.856251719997</v>
      </c>
      <c r="F118" s="3">
        <v>1.8713991298946</v>
      </c>
    </row>
    <row r="119" spans="1:6" x14ac:dyDescent="0.3">
      <c r="A119" s="3" t="s">
        <v>139</v>
      </c>
      <c r="B119" s="3">
        <v>2.25</v>
      </c>
      <c r="C119" s="3">
        <v>23.164628813737</v>
      </c>
      <c r="D119" s="3">
        <v>71.594281584682335</v>
      </c>
      <c r="E119" s="3">
        <v>1698.3387384299999</v>
      </c>
      <c r="F119" s="3">
        <v>15.644624417999999</v>
      </c>
    </row>
    <row r="120" spans="1:6" x14ac:dyDescent="0.3">
      <c r="A120" s="3" t="s">
        <v>140</v>
      </c>
      <c r="B120" s="3">
        <v>2.8</v>
      </c>
      <c r="C120" s="3">
        <v>55.746981251960001</v>
      </c>
      <c r="D120" s="3">
        <v>114.4926464322</v>
      </c>
      <c r="E120" s="3">
        <v>12281.779461669999</v>
      </c>
      <c r="F120" s="3">
        <v>6.6995232916300003</v>
      </c>
    </row>
    <row r="121" spans="1:6" x14ac:dyDescent="0.3">
      <c r="A121" s="3" t="s">
        <v>141</v>
      </c>
      <c r="B121" s="3">
        <v>2.08</v>
      </c>
      <c r="C121" s="3">
        <v>2.9636585435779002</v>
      </c>
      <c r="D121" s="3">
        <v>55.286796968766041</v>
      </c>
      <c r="E121" s="3">
        <v>758.32913731888004</v>
      </c>
      <c r="F121" s="3">
        <v>2.2742142469618001</v>
      </c>
    </row>
    <row r="122" spans="1:6" x14ac:dyDescent="0.3">
      <c r="A122" s="3" t="s">
        <v>142</v>
      </c>
      <c r="B122" s="3">
        <v>4.3</v>
      </c>
      <c r="C122" s="3">
        <v>18.431297962999999</v>
      </c>
      <c r="D122" s="3">
        <v>323.712199919</v>
      </c>
      <c r="E122" s="3">
        <v>86382.594992519997</v>
      </c>
      <c r="F122" s="3">
        <v>24.675624563700001</v>
      </c>
    </row>
    <row r="123" spans="1:6" x14ac:dyDescent="0.3">
      <c r="A123" s="3" t="s">
        <v>143</v>
      </c>
      <c r="B123" s="3">
        <v>3.3</v>
      </c>
      <c r="C123" s="3">
        <v>91.493556132584004</v>
      </c>
      <c r="D123" s="3">
        <v>181.39872356449999</v>
      </c>
      <c r="E123" s="3">
        <v>24614.87346427939</v>
      </c>
      <c r="F123" s="3">
        <v>0.393861455912485</v>
      </c>
    </row>
    <row r="124" spans="1:6" x14ac:dyDescent="0.3">
      <c r="A124" s="3" t="s">
        <v>144</v>
      </c>
      <c r="B124" s="3">
        <v>3.3</v>
      </c>
      <c r="C124" s="3">
        <v>83.438273731363154</v>
      </c>
      <c r="D124" s="3">
        <v>16.159669390000001</v>
      </c>
      <c r="E124" s="3">
        <v>3266.4753581345999</v>
      </c>
      <c r="F124" s="3">
        <v>2.9288931483199998</v>
      </c>
    </row>
    <row r="125" spans="1:6" x14ac:dyDescent="0.3">
      <c r="A125" s="3" t="s">
        <v>145</v>
      </c>
      <c r="B125" s="3">
        <v>2.8</v>
      </c>
      <c r="C125" s="3">
        <v>36.259366478577</v>
      </c>
      <c r="D125" s="3">
        <v>11.134531825762</v>
      </c>
      <c r="E125" s="3">
        <v>1882.6439414842</v>
      </c>
      <c r="F125" s="3">
        <v>5.238375788181</v>
      </c>
    </row>
    <row r="126" spans="1:6" x14ac:dyDescent="0.3">
      <c r="A126" s="3" t="s">
        <v>246</v>
      </c>
      <c r="B126" s="3">
        <v>2</v>
      </c>
      <c r="C126" s="3">
        <v>21.938399156759999</v>
      </c>
      <c r="D126" s="3">
        <v>13.121748311699999</v>
      </c>
      <c r="E126" s="3">
        <v>596.88598513558895</v>
      </c>
      <c r="F126" s="3">
        <v>6.1735718196751233</v>
      </c>
    </row>
    <row r="127" spans="1:6" x14ac:dyDescent="0.3">
      <c r="A127" s="3" t="s">
        <v>146</v>
      </c>
      <c r="B127" s="3">
        <v>3.7</v>
      </c>
      <c r="C127" s="3">
        <v>33.253812755681558</v>
      </c>
      <c r="D127" s="3">
        <v>65.679875974769999</v>
      </c>
      <c r="E127" s="3">
        <v>634.27289646730003</v>
      </c>
      <c r="F127" s="3">
        <v>1.1273779164560001</v>
      </c>
    </row>
    <row r="128" spans="1:6" x14ac:dyDescent="0.3">
      <c r="A128" s="3" t="s">
        <v>147</v>
      </c>
      <c r="B128" s="3">
        <v>3.9</v>
      </c>
      <c r="C128" s="3">
        <v>37.816647649391328</v>
      </c>
      <c r="D128" s="3">
        <v>71.797636655733001</v>
      </c>
      <c r="E128" s="3">
        <v>33493.222549111</v>
      </c>
      <c r="F128" s="3">
        <v>2.8998156531689334</v>
      </c>
    </row>
    <row r="129" spans="1:6" x14ac:dyDescent="0.3">
      <c r="A129" s="3" t="s">
        <v>148</v>
      </c>
      <c r="B129" s="3">
        <v>2.8</v>
      </c>
      <c r="C129" s="3">
        <v>2.5995283672112</v>
      </c>
      <c r="D129" s="3">
        <v>43.347668119513415</v>
      </c>
      <c r="E129" s="3">
        <v>3815.4153176747432</v>
      </c>
      <c r="F129" s="3">
        <v>0.84817767967169999</v>
      </c>
    </row>
    <row r="130" spans="1:6" x14ac:dyDescent="0.3">
      <c r="A130" s="3" t="s">
        <v>149</v>
      </c>
      <c r="B130" s="3">
        <v>2.4</v>
      </c>
      <c r="C130" s="3">
        <v>1.1818593848300001</v>
      </c>
      <c r="D130" s="3">
        <v>2.4737287826766519</v>
      </c>
      <c r="E130" s="3">
        <v>797.283447265625</v>
      </c>
      <c r="F130" s="3">
        <v>1.3739937287934001</v>
      </c>
    </row>
    <row r="131" spans="1:6" x14ac:dyDescent="0.3">
      <c r="A131" s="3" t="s">
        <v>150</v>
      </c>
      <c r="B131" s="3">
        <v>4</v>
      </c>
      <c r="C131" s="3">
        <v>55.19587797186</v>
      </c>
      <c r="D131" s="3">
        <v>17.619794439740001</v>
      </c>
      <c r="E131" s="3">
        <v>5495.2834725621997</v>
      </c>
      <c r="F131" s="3">
        <v>3.2251236929560001</v>
      </c>
    </row>
    <row r="132" spans="1:6" x14ac:dyDescent="0.3">
      <c r="A132" s="3" t="s">
        <v>151</v>
      </c>
      <c r="B132" s="3">
        <v>4.0999999999999996</v>
      </c>
      <c r="C132" s="3">
        <v>7.3187381654557004</v>
      </c>
      <c r="D132" s="3">
        <v>129.73719454839997</v>
      </c>
      <c r="E132" s="3">
        <v>14449.754517720001</v>
      </c>
      <c r="F132" s="3">
        <v>-12.435827337439996</v>
      </c>
    </row>
    <row r="133" spans="1:6" x14ac:dyDescent="0.3">
      <c r="A133" s="3" t="s">
        <v>153</v>
      </c>
      <c r="B133" s="3">
        <v>2.5</v>
      </c>
      <c r="C133" s="3">
        <v>17.191837461414998</v>
      </c>
      <c r="D133" s="3">
        <v>65.634713673540006</v>
      </c>
      <c r="E133" s="3">
        <v>1178.4799624899999</v>
      </c>
      <c r="F133" s="3">
        <v>1.148136988833917</v>
      </c>
    </row>
    <row r="134" spans="1:6" x14ac:dyDescent="0.3">
      <c r="A134" s="3" t="s">
        <v>154</v>
      </c>
      <c r="B134" s="3">
        <v>2.8</v>
      </c>
      <c r="C134" s="3">
        <v>17.195429876275451</v>
      </c>
      <c r="D134" s="3">
        <v>38.2123486339</v>
      </c>
      <c r="E134" s="3">
        <v>1224.219726563</v>
      </c>
      <c r="F134" s="3">
        <v>2.8641579229270002</v>
      </c>
    </row>
    <row r="135" spans="1:6" x14ac:dyDescent="0.3">
      <c r="A135" s="3" t="s">
        <v>155</v>
      </c>
      <c r="B135" s="3">
        <v>3.5</v>
      </c>
      <c r="C135" s="3">
        <v>65.513588274517005</v>
      </c>
      <c r="D135" s="3">
        <v>128.79235969165001</v>
      </c>
      <c r="E135" s="3">
        <v>721.5413832685</v>
      </c>
      <c r="F135" s="3">
        <v>1.9975474592239999</v>
      </c>
    </row>
    <row r="136" spans="1:6" x14ac:dyDescent="0.3">
      <c r="A136" s="3" t="s">
        <v>157</v>
      </c>
      <c r="B136" s="3">
        <v>2.5</v>
      </c>
      <c r="C136" s="3">
        <v>24.582517955789999</v>
      </c>
      <c r="D136" s="3">
        <v>59.929177717427002</v>
      </c>
      <c r="E136" s="3">
        <v>1182.3295143669632</v>
      </c>
      <c r="F136" s="3">
        <v>0.82611611792200002</v>
      </c>
    </row>
    <row r="137" spans="1:6" x14ac:dyDescent="0.3">
      <c r="A137" s="3" t="s">
        <v>159</v>
      </c>
      <c r="B137" s="3">
        <v>2.7</v>
      </c>
      <c r="C137" s="3">
        <v>53.393939116799999</v>
      </c>
      <c r="D137" s="3">
        <v>112.12885813354001</v>
      </c>
      <c r="E137" s="3">
        <v>3951.1168337692147</v>
      </c>
      <c r="F137" s="3">
        <v>1.4635133384422858</v>
      </c>
    </row>
    <row r="138" spans="1:6" x14ac:dyDescent="0.3">
      <c r="A138" s="3" t="s">
        <v>160</v>
      </c>
      <c r="B138" s="3">
        <v>3.4</v>
      </c>
      <c r="C138" s="3">
        <v>31.913592689723998</v>
      </c>
      <c r="D138" s="3">
        <v>65.683284738666998</v>
      </c>
      <c r="E138" s="3">
        <v>13375.947282863999</v>
      </c>
      <c r="F138" s="3">
        <v>0.93386495534911995</v>
      </c>
    </row>
    <row r="139" spans="1:6" x14ac:dyDescent="0.3">
      <c r="A139" s="3" t="s">
        <v>161</v>
      </c>
      <c r="B139" s="3">
        <v>2.41</v>
      </c>
      <c r="C139" s="3">
        <v>21.675322584741</v>
      </c>
      <c r="D139" s="3">
        <v>34.179435541879997</v>
      </c>
      <c r="E139" s="3">
        <v>5298.4642194927619</v>
      </c>
      <c r="F139" s="3">
        <v>3.5323296866931</v>
      </c>
    </row>
    <row r="140" spans="1:6" x14ac:dyDescent="0.3">
      <c r="A140" s="3" t="s">
        <v>163</v>
      </c>
      <c r="B140" s="3">
        <v>2.7</v>
      </c>
      <c r="C140" s="3">
        <v>28.346827372700002</v>
      </c>
      <c r="D140" s="3">
        <v>77.596141935657002</v>
      </c>
      <c r="E140" s="3">
        <v>5139.59814453125</v>
      </c>
      <c r="F140" s="3">
        <v>2.522879219664</v>
      </c>
    </row>
    <row r="141" spans="1:6" x14ac:dyDescent="0.3">
      <c r="A141" s="3" t="s">
        <v>164</v>
      </c>
      <c r="B141" s="3">
        <v>4</v>
      </c>
      <c r="C141" s="3">
        <v>16.846123399530001</v>
      </c>
      <c r="D141" s="3">
        <v>199.449512717</v>
      </c>
      <c r="E141" s="3">
        <v>4985.6945828400003</v>
      </c>
      <c r="F141" s="3">
        <v>5.8718398356489869</v>
      </c>
    </row>
    <row r="142" spans="1:6" x14ac:dyDescent="0.3">
      <c r="A142" s="3" t="s">
        <v>165</v>
      </c>
      <c r="B142" s="3">
        <v>3.7</v>
      </c>
      <c r="C142" s="3">
        <v>31.912269762993773</v>
      </c>
      <c r="D142" s="3">
        <v>64.992384174782998</v>
      </c>
      <c r="E142" s="3">
        <v>49919.689662158606</v>
      </c>
      <c r="F142" s="3">
        <v>0.43116734836793003</v>
      </c>
    </row>
    <row r="143" spans="1:6" x14ac:dyDescent="0.3">
      <c r="A143" s="3" t="s">
        <v>166</v>
      </c>
      <c r="B143" s="3">
        <v>3.8</v>
      </c>
      <c r="C143" s="3">
        <v>11.5673719927</v>
      </c>
      <c r="D143" s="3">
        <v>24.929298175284721</v>
      </c>
      <c r="E143" s="3">
        <v>82586.784777894005</v>
      </c>
      <c r="F143" s="3">
        <v>1.3141768246586001</v>
      </c>
    </row>
    <row r="144" spans="1:6" x14ac:dyDescent="0.3">
      <c r="A144" s="3" t="s">
        <v>167</v>
      </c>
      <c r="B144" s="3">
        <v>3</v>
      </c>
      <c r="C144" s="3">
        <v>27.981248656588381</v>
      </c>
      <c r="D144" s="3">
        <v>52.32731838718</v>
      </c>
      <c r="E144" s="3">
        <v>23378.639973351612</v>
      </c>
      <c r="F144" s="3">
        <v>-6.6256474617616092</v>
      </c>
    </row>
    <row r="145" spans="1:6" x14ac:dyDescent="0.3">
      <c r="A145" s="3" t="s">
        <v>168</v>
      </c>
      <c r="B145" s="3">
        <v>2.6</v>
      </c>
      <c r="C145" s="3">
        <v>23.315232191522163</v>
      </c>
      <c r="D145" s="3">
        <v>63.121943494999996</v>
      </c>
      <c r="E145" s="3">
        <v>315.97756945700002</v>
      </c>
      <c r="F145" s="3">
        <v>2.5412733649999999</v>
      </c>
    </row>
    <row r="146" spans="1:6" x14ac:dyDescent="0.3">
      <c r="A146" s="3" t="s">
        <v>169</v>
      </c>
      <c r="B146" s="3">
        <v>2.2999999999999998</v>
      </c>
      <c r="C146" s="3">
        <v>18.663666874328001</v>
      </c>
      <c r="D146" s="3">
        <v>28.944323171164999</v>
      </c>
      <c r="E146" s="3">
        <v>3617.4738396528001</v>
      </c>
      <c r="F146" s="3">
        <v>0.1269812463344</v>
      </c>
    </row>
    <row r="147" spans="1:6" x14ac:dyDescent="0.3">
      <c r="A147" s="3" t="s">
        <v>170</v>
      </c>
      <c r="B147" s="3">
        <v>3.3</v>
      </c>
      <c r="C147" s="3">
        <v>86.736664875238006</v>
      </c>
      <c r="D147" s="3">
        <v>164.99558545587553</v>
      </c>
      <c r="E147" s="3">
        <v>4322.8257226156556</v>
      </c>
      <c r="F147" s="3">
        <v>4.2645885654688813</v>
      </c>
    </row>
    <row r="148" spans="1:6" x14ac:dyDescent="0.3">
      <c r="A148" s="3" t="s">
        <v>172</v>
      </c>
      <c r="B148" s="3">
        <v>2.8</v>
      </c>
      <c r="C148" s="3">
        <v>4.8461239686718001</v>
      </c>
      <c r="D148" s="3">
        <v>78.241887451484999</v>
      </c>
      <c r="E148" s="3">
        <v>133.72785767900001</v>
      </c>
      <c r="F148" s="3">
        <v>2.3246533561482581</v>
      </c>
    </row>
    <row r="149" spans="1:6" x14ac:dyDescent="0.3">
      <c r="A149" s="3" t="s">
        <v>173</v>
      </c>
      <c r="B149" s="3">
        <v>2.5</v>
      </c>
      <c r="C149" s="3">
        <v>17.117765918</v>
      </c>
      <c r="D149" s="3">
        <v>4.2912612469419997</v>
      </c>
      <c r="E149" s="3">
        <v>2195.2252117399998</v>
      </c>
      <c r="F149" s="3">
        <v>1.6843211517412002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BDB6-AA33-488B-97F4-58DC3C771A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Cleaned Data</vt:lpstr>
      <vt:lpstr>Analysis Data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PATEL</dc:creator>
  <cp:lastModifiedBy>MANAN PATEL</cp:lastModifiedBy>
  <dcterms:created xsi:type="dcterms:W3CDTF">2026-10-01T03:37:56Z</dcterms:created>
  <dcterms:modified xsi:type="dcterms:W3CDTF">2026-10-01T07:47:20Z</dcterms:modified>
</cp:coreProperties>
</file>